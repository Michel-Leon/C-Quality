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rodriguez\Downloads\"/>
    </mc:Choice>
  </mc:AlternateContent>
  <xr:revisionPtr revIDLastSave="0" documentId="13_ncr:1_{6AF9DD1C-D01A-476F-BEBB-C1BCF2ED21B8}" xr6:coauthVersionLast="47" xr6:coauthVersionMax="47" xr10:uidLastSave="{00000000-0000-0000-0000-000000000000}"/>
  <bookViews>
    <workbookView xWindow="28690" yWindow="-2500" windowWidth="29020" windowHeight="15700" activeTab="1" xr2:uid="{65621142-BA96-42FC-AEC3-FFB76C8F78A4}"/>
  </bookViews>
  <sheets>
    <sheet name="BD" sheetId="1" r:id="rId1"/>
    <sheet name="UF" sheetId="19" r:id="rId2"/>
  </sheets>
  <definedNames>
    <definedName name="_xlnm.Print_Area" localSheetId="1">UF!$AD$12:$DW$61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" i="19" l="1"/>
  <c r="AC23" i="19" a="1"/>
  <c r="AC23" i="19" s="1"/>
  <c r="AD24" i="19" s="1"/>
  <c r="AD23" i="19" a="1"/>
  <c r="AD23" i="19"/>
  <c r="AB24" i="19"/>
  <c r="AC24" i="19"/>
  <c r="AB25" i="19"/>
  <c r="AC25" i="19" a="1"/>
  <c r="AC25" i="19"/>
  <c r="AD25" i="19" a="1"/>
  <c r="AD25" i="19" s="1"/>
  <c r="AB26" i="19"/>
  <c r="AC26" i="19"/>
  <c r="AB27" i="19"/>
  <c r="AC27" i="19" a="1"/>
  <c r="AC27" i="19"/>
  <c r="AD27" i="19" a="1"/>
  <c r="AD27" i="19" s="1"/>
  <c r="AD28" i="19" s="1"/>
  <c r="AB28" i="19"/>
  <c r="AC28" i="19"/>
  <c r="AB29" i="19"/>
  <c r="AC29" i="19" a="1"/>
  <c r="AC29" i="19" s="1"/>
  <c r="AD30" i="19" s="1"/>
  <c r="AD29" i="19" a="1"/>
  <c r="AD29" i="19"/>
  <c r="AB30" i="19"/>
  <c r="AC30" i="19"/>
  <c r="AB31" i="19"/>
  <c r="AC31" i="19" a="1"/>
  <c r="AC31" i="19"/>
  <c r="AD31" i="19" a="1"/>
  <c r="AD31" i="19" s="1"/>
  <c r="AB32" i="19"/>
  <c r="AC32" i="19"/>
  <c r="AB33" i="19"/>
  <c r="AC33" i="19" a="1"/>
  <c r="AC33" i="19"/>
  <c r="AD33" i="19" a="1"/>
  <c r="AD33" i="19" s="1"/>
  <c r="AD34" i="19" s="1"/>
  <c r="AB34" i="19"/>
  <c r="AC34" i="19"/>
  <c r="AB35" i="19"/>
  <c r="AC35" i="19" a="1"/>
  <c r="AC35" i="19" s="1"/>
  <c r="AD36" i="19" s="1"/>
  <c r="AD35" i="19" a="1"/>
  <c r="AD35" i="19"/>
  <c r="AB36" i="19"/>
  <c r="AC36" i="19"/>
  <c r="AB37" i="19"/>
  <c r="AC37" i="19" a="1"/>
  <c r="AC37" i="19"/>
  <c r="AD37" i="19" a="1"/>
  <c r="AD37" i="19" s="1"/>
  <c r="AB38" i="19"/>
  <c r="AC38" i="19"/>
  <c r="AB39" i="19"/>
  <c r="AC39" i="19" a="1"/>
  <c r="AC39" i="19"/>
  <c r="AD39" i="19" a="1"/>
  <c r="AD39" i="19" s="1"/>
  <c r="AD40" i="19" s="1"/>
  <c r="AB40" i="19"/>
  <c r="AC40" i="19"/>
  <c r="AB41" i="19"/>
  <c r="AC41" i="19" a="1"/>
  <c r="AC41" i="19" s="1"/>
  <c r="AD42" i="19" s="1"/>
  <c r="AD41" i="19" a="1"/>
  <c r="AD41" i="19"/>
  <c r="AB42" i="19"/>
  <c r="AC42" i="19"/>
  <c r="AB43" i="19"/>
  <c r="AC43" i="19" a="1"/>
  <c r="AC43" i="19"/>
  <c r="AD43" i="19" a="1"/>
  <c r="AD43" i="19" s="1"/>
  <c r="AB44" i="19"/>
  <c r="AC44" i="19"/>
  <c r="AB45" i="19"/>
  <c r="AC45" i="19" a="1"/>
  <c r="AC45" i="19"/>
  <c r="AD45" i="19" a="1"/>
  <c r="AD45" i="19" s="1"/>
  <c r="AD46" i="19" s="1"/>
  <c r="AB46" i="19"/>
  <c r="AC46" i="19"/>
  <c r="AB47" i="19"/>
  <c r="AC47" i="19" a="1"/>
  <c r="AC47" i="19" s="1"/>
  <c r="AD48" i="19" s="1"/>
  <c r="AD47" i="19" a="1"/>
  <c r="AD47" i="19"/>
  <c r="AB48" i="19"/>
  <c r="AC48" i="19"/>
  <c r="AB49" i="19"/>
  <c r="AC49" i="19" a="1"/>
  <c r="AC49" i="19"/>
  <c r="AD49" i="19" a="1"/>
  <c r="AD49" i="19" s="1"/>
  <c r="AB50" i="19"/>
  <c r="AC50" i="19"/>
  <c r="AB51" i="19"/>
  <c r="AC51" i="19" a="1"/>
  <c r="AC51" i="19"/>
  <c r="AD51" i="19" a="1"/>
  <c r="AD51" i="19" s="1"/>
  <c r="AD52" i="19" s="1"/>
  <c r="AB52" i="19"/>
  <c r="AC52" i="19"/>
  <c r="AB53" i="19"/>
  <c r="AC53" i="19" a="1"/>
  <c r="AC53" i="19" s="1"/>
  <c r="AD54" i="19" s="1"/>
  <c r="AD53" i="19" a="1"/>
  <c r="AD53" i="19"/>
  <c r="AB54" i="19"/>
  <c r="AC54" i="19"/>
  <c r="AB55" i="19"/>
  <c r="AC55" i="19" a="1"/>
  <c r="AC55" i="19"/>
  <c r="AD55" i="19" a="1"/>
  <c r="AD55" i="19" s="1"/>
  <c r="AB56" i="19"/>
  <c r="AC56" i="19"/>
  <c r="AD22" i="19"/>
  <c r="DE21" i="19"/>
  <c r="DR23" i="19"/>
  <c r="DR25" i="19"/>
  <c r="DR27" i="19"/>
  <c r="DR29" i="19"/>
  <c r="DR31" i="19"/>
  <c r="DR33" i="19"/>
  <c r="DR35" i="19"/>
  <c r="DR37" i="19"/>
  <c r="DR39" i="19"/>
  <c r="DR41" i="19"/>
  <c r="DR43" i="19"/>
  <c r="DR45" i="19"/>
  <c r="DR47" i="19"/>
  <c r="DR49" i="19"/>
  <c r="DR51" i="19"/>
  <c r="DR53" i="19"/>
  <c r="DR55" i="19"/>
  <c r="DR21" i="19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U6" i="1" a="1"/>
  <c r="AU6" i="1" s="1"/>
  <c r="AU7" i="1" a="1"/>
  <c r="AU7" i="1"/>
  <c r="AU8" i="1" a="1"/>
  <c r="AU8" i="1"/>
  <c r="AU9" i="1" a="1"/>
  <c r="AU9" i="1"/>
  <c r="AU10" i="1" a="1"/>
  <c r="AU10" i="1"/>
  <c r="AU11" i="1" a="1"/>
  <c r="AU11" i="1"/>
  <c r="AU12" i="1" a="1"/>
  <c r="AU12" i="1" s="1"/>
  <c r="AU13" i="1" a="1"/>
  <c r="AU13" i="1"/>
  <c r="AU14" i="1" a="1"/>
  <c r="AU14" i="1"/>
  <c r="AU15" i="1" a="1"/>
  <c r="AU15" i="1"/>
  <c r="AU16" i="1" a="1"/>
  <c r="AU16" i="1"/>
  <c r="AU17" i="1" a="1"/>
  <c r="AU17" i="1"/>
  <c r="AU18" i="1" a="1"/>
  <c r="AU18" i="1" s="1"/>
  <c r="AU19" i="1" a="1"/>
  <c r="AU19" i="1"/>
  <c r="AU20" i="1" a="1"/>
  <c r="AU20" i="1"/>
  <c r="AU21" i="1" a="1"/>
  <c r="AU21" i="1"/>
  <c r="AU22" i="1" a="1"/>
  <c r="AU22" i="1"/>
  <c r="AU23" i="1" a="1"/>
  <c r="AU23" i="1"/>
  <c r="AU24" i="1" a="1"/>
  <c r="AU24" i="1" s="1"/>
  <c r="AU25" i="1" a="1"/>
  <c r="AU25" i="1"/>
  <c r="AU26" i="1" a="1"/>
  <c r="AU26" i="1"/>
  <c r="AU27" i="1" a="1"/>
  <c r="AU27" i="1"/>
  <c r="AU28" i="1" a="1"/>
  <c r="AU28" i="1"/>
  <c r="AU29" i="1" a="1"/>
  <c r="AU29" i="1"/>
  <c r="AU30" i="1" a="1"/>
  <c r="AU30" i="1" s="1"/>
  <c r="AU31" i="1" a="1"/>
  <c r="AU31" i="1"/>
  <c r="AU32" i="1" a="1"/>
  <c r="AU32" i="1"/>
  <c r="AU33" i="1" a="1"/>
  <c r="AU33" i="1"/>
  <c r="AU34" i="1" a="1"/>
  <c r="AU34" i="1"/>
  <c r="AU35" i="1" a="1"/>
  <c r="AU35" i="1"/>
  <c r="AU36" i="1" a="1"/>
  <c r="AU36" i="1" s="1"/>
  <c r="AU37" i="1" a="1"/>
  <c r="AU37" i="1"/>
  <c r="AU38" i="1" a="1"/>
  <c r="AU38" i="1"/>
  <c r="AU39" i="1" a="1"/>
  <c r="AU39" i="1"/>
  <c r="AU40" i="1" a="1"/>
  <c r="AU40" i="1"/>
  <c r="AU41" i="1" a="1"/>
  <c r="AU41" i="1"/>
  <c r="AU42" i="1" a="1"/>
  <c r="AU42" i="1" s="1"/>
  <c r="AU43" i="1" a="1"/>
  <c r="AU43" i="1"/>
  <c r="AU44" i="1" a="1"/>
  <c r="AU44" i="1"/>
  <c r="AU45" i="1" a="1"/>
  <c r="AU45" i="1"/>
  <c r="AU46" i="1" a="1"/>
  <c r="AU46" i="1"/>
  <c r="AU47" i="1" a="1"/>
  <c r="AU47" i="1"/>
  <c r="AU48" i="1" a="1"/>
  <c r="AU48" i="1" s="1"/>
  <c r="AU49" i="1" a="1"/>
  <c r="AU49" i="1"/>
  <c r="AX49" i="1"/>
  <c r="AT49" i="1" a="1"/>
  <c r="AT49" i="1" s="1"/>
  <c r="AS49" i="1"/>
  <c r="AR49" i="1"/>
  <c r="AQ49" i="1" a="1"/>
  <c r="AQ49" i="1" s="1"/>
  <c r="AP49" i="1" a="1"/>
  <c r="AP49" i="1" s="1"/>
  <c r="AO49" i="1"/>
  <c r="AX48" i="1"/>
  <c r="AT48" i="1" a="1"/>
  <c r="AT48" i="1" s="1"/>
  <c r="AS48" i="1"/>
  <c r="AR48" i="1"/>
  <c r="AQ48" i="1" a="1"/>
  <c r="AQ48" i="1" s="1"/>
  <c r="AP48" i="1" a="1"/>
  <c r="AP48" i="1" s="1"/>
  <c r="AO48" i="1"/>
  <c r="AX47" i="1"/>
  <c r="AT47" i="1" a="1"/>
  <c r="AT47" i="1" s="1"/>
  <c r="AS47" i="1"/>
  <c r="AR47" i="1"/>
  <c r="AQ47" i="1" a="1"/>
  <c r="AQ47" i="1" s="1"/>
  <c r="AP47" i="1" a="1"/>
  <c r="AP47" i="1" s="1"/>
  <c r="AO47" i="1"/>
  <c r="AX46" i="1"/>
  <c r="AT46" i="1" a="1"/>
  <c r="AT46" i="1" s="1"/>
  <c r="AS46" i="1"/>
  <c r="AR46" i="1"/>
  <c r="AQ46" i="1" a="1"/>
  <c r="AQ46" i="1" s="1"/>
  <c r="AP46" i="1" a="1"/>
  <c r="AP46" i="1" s="1"/>
  <c r="AO46" i="1"/>
  <c r="AX45" i="1"/>
  <c r="AT45" i="1"/>
  <c r="AT45" i="1" a="1"/>
  <c r="AS45" i="1"/>
  <c r="AR45" i="1"/>
  <c r="AQ45" i="1" a="1"/>
  <c r="AQ45" i="1" s="1"/>
  <c r="AP45" i="1" a="1"/>
  <c r="AP45" i="1" s="1"/>
  <c r="AO45" i="1"/>
  <c r="AX44" i="1"/>
  <c r="AT44" i="1" a="1"/>
  <c r="AT44" i="1" s="1"/>
  <c r="AS44" i="1"/>
  <c r="AR44" i="1"/>
  <c r="AQ44" i="1" a="1"/>
  <c r="AQ44" i="1" s="1"/>
  <c r="AP44" i="1" a="1"/>
  <c r="AP44" i="1" s="1"/>
  <c r="AO44" i="1"/>
  <c r="AX43" i="1"/>
  <c r="AT43" i="1" a="1"/>
  <c r="AT43" i="1" s="1"/>
  <c r="AS43" i="1"/>
  <c r="AR43" i="1"/>
  <c r="AQ43" i="1" a="1"/>
  <c r="AQ43" i="1" s="1"/>
  <c r="AP43" i="1" a="1"/>
  <c r="AP43" i="1" s="1"/>
  <c r="AO43" i="1"/>
  <c r="AX42" i="1"/>
  <c r="AT42" i="1" a="1"/>
  <c r="AT42" i="1" s="1"/>
  <c r="AS42" i="1"/>
  <c r="AR42" i="1"/>
  <c r="AQ42" i="1" a="1"/>
  <c r="AQ42" i="1" s="1"/>
  <c r="AP42" i="1" a="1"/>
  <c r="AP42" i="1" s="1"/>
  <c r="AO42" i="1"/>
  <c r="AX41" i="1"/>
  <c r="AT41" i="1" a="1"/>
  <c r="AT41" i="1" s="1"/>
  <c r="AS41" i="1"/>
  <c r="AR41" i="1"/>
  <c r="AQ41" i="1" a="1"/>
  <c r="AQ41" i="1" s="1"/>
  <c r="AP41" i="1" a="1"/>
  <c r="AP41" i="1" s="1"/>
  <c r="AO41" i="1"/>
  <c r="AX40" i="1"/>
  <c r="AT40" i="1" a="1"/>
  <c r="AT40" i="1" s="1"/>
  <c r="AS40" i="1"/>
  <c r="AR40" i="1"/>
  <c r="AQ40" i="1" a="1"/>
  <c r="AQ40" i="1" s="1"/>
  <c r="AP40" i="1" a="1"/>
  <c r="AP40" i="1" s="1"/>
  <c r="AO40" i="1"/>
  <c r="AX39" i="1"/>
  <c r="AT39" i="1" a="1"/>
  <c r="AT39" i="1" s="1"/>
  <c r="AS39" i="1"/>
  <c r="AR39" i="1"/>
  <c r="AQ39" i="1" a="1"/>
  <c r="AQ39" i="1" s="1"/>
  <c r="AP39" i="1" a="1"/>
  <c r="AP39" i="1" s="1"/>
  <c r="AO39" i="1"/>
  <c r="AX38" i="1"/>
  <c r="AT38" i="1" a="1"/>
  <c r="AT38" i="1" s="1"/>
  <c r="AS38" i="1"/>
  <c r="AR38" i="1"/>
  <c r="AQ38" i="1" a="1"/>
  <c r="AQ38" i="1" s="1"/>
  <c r="AP38" i="1" a="1"/>
  <c r="AP38" i="1" s="1"/>
  <c r="AO38" i="1"/>
  <c r="AX37" i="1"/>
  <c r="AT37" i="1" a="1"/>
  <c r="AT37" i="1" s="1"/>
  <c r="AS37" i="1"/>
  <c r="AR37" i="1"/>
  <c r="AQ37" i="1" a="1"/>
  <c r="AQ37" i="1" s="1"/>
  <c r="AP37" i="1" a="1"/>
  <c r="AP37" i="1" s="1"/>
  <c r="AO37" i="1"/>
  <c r="AX36" i="1"/>
  <c r="AT36" i="1" a="1"/>
  <c r="AT36" i="1" s="1"/>
  <c r="AS36" i="1"/>
  <c r="AR36" i="1"/>
  <c r="AQ36" i="1" a="1"/>
  <c r="AQ36" i="1" s="1"/>
  <c r="AP36" i="1" a="1"/>
  <c r="AP36" i="1" s="1"/>
  <c r="AO36" i="1"/>
  <c r="AX35" i="1"/>
  <c r="AT35" i="1" a="1"/>
  <c r="AT35" i="1" s="1"/>
  <c r="AS35" i="1"/>
  <c r="AR35" i="1"/>
  <c r="AQ35" i="1" a="1"/>
  <c r="AQ35" i="1" s="1"/>
  <c r="AP35" i="1" a="1"/>
  <c r="AP35" i="1" s="1"/>
  <c r="AO35" i="1"/>
  <c r="AX34" i="1"/>
  <c r="AT34" i="1" a="1"/>
  <c r="AT34" i="1" s="1"/>
  <c r="AS34" i="1"/>
  <c r="AR34" i="1"/>
  <c r="AQ34" i="1" a="1"/>
  <c r="AQ34" i="1" s="1"/>
  <c r="AP34" i="1" a="1"/>
  <c r="AP34" i="1" s="1"/>
  <c r="AO34" i="1"/>
  <c r="AX33" i="1"/>
  <c r="AT33" i="1" a="1"/>
  <c r="AT33" i="1" s="1"/>
  <c r="AS33" i="1"/>
  <c r="AR33" i="1"/>
  <c r="AQ33" i="1" a="1"/>
  <c r="AQ33" i="1" s="1"/>
  <c r="AP33" i="1" a="1"/>
  <c r="AP33" i="1" s="1"/>
  <c r="AO33" i="1"/>
  <c r="AX32" i="1"/>
  <c r="AT32" i="1" a="1"/>
  <c r="AT32" i="1" s="1"/>
  <c r="AS32" i="1"/>
  <c r="AR32" i="1"/>
  <c r="AQ32" i="1" a="1"/>
  <c r="AQ32" i="1" s="1"/>
  <c r="AP32" i="1" a="1"/>
  <c r="AP32" i="1" s="1"/>
  <c r="AO32" i="1"/>
  <c r="AX31" i="1"/>
  <c r="AT31" i="1" a="1"/>
  <c r="AT31" i="1" s="1"/>
  <c r="AS31" i="1"/>
  <c r="AR31" i="1"/>
  <c r="AQ31" i="1" a="1"/>
  <c r="AQ31" i="1" s="1"/>
  <c r="AP31" i="1" a="1"/>
  <c r="AP31" i="1" s="1"/>
  <c r="AO31" i="1"/>
  <c r="AX30" i="1"/>
  <c r="AT30" i="1" a="1"/>
  <c r="AT30" i="1" s="1"/>
  <c r="AS30" i="1"/>
  <c r="AR30" i="1"/>
  <c r="AQ30" i="1" a="1"/>
  <c r="AQ30" i="1" s="1"/>
  <c r="AP30" i="1" a="1"/>
  <c r="AP30" i="1" s="1"/>
  <c r="AO30" i="1"/>
  <c r="AX29" i="1"/>
  <c r="AT29" i="1" a="1"/>
  <c r="AT29" i="1" s="1"/>
  <c r="AS29" i="1"/>
  <c r="AR29" i="1"/>
  <c r="AQ29" i="1" a="1"/>
  <c r="AQ29" i="1" s="1"/>
  <c r="AP29" i="1" a="1"/>
  <c r="AP29" i="1" s="1"/>
  <c r="AO29" i="1"/>
  <c r="AX28" i="1"/>
  <c r="AT28" i="1" a="1"/>
  <c r="AT28" i="1" s="1"/>
  <c r="AS28" i="1"/>
  <c r="AR28" i="1"/>
  <c r="AQ28" i="1" a="1"/>
  <c r="AQ28" i="1" s="1"/>
  <c r="AP28" i="1" a="1"/>
  <c r="AP28" i="1" s="1"/>
  <c r="AO28" i="1"/>
  <c r="AX27" i="1"/>
  <c r="AT27" i="1" a="1"/>
  <c r="AT27" i="1" s="1"/>
  <c r="AS27" i="1"/>
  <c r="AR27" i="1"/>
  <c r="AQ27" i="1" a="1"/>
  <c r="AQ27" i="1" s="1"/>
  <c r="AP27" i="1" a="1"/>
  <c r="AP27" i="1" s="1"/>
  <c r="AO27" i="1"/>
  <c r="AX26" i="1"/>
  <c r="AT26" i="1" a="1"/>
  <c r="AT26" i="1" s="1"/>
  <c r="AS26" i="1"/>
  <c r="AR26" i="1"/>
  <c r="AQ26" i="1" a="1"/>
  <c r="AQ26" i="1" s="1"/>
  <c r="AP26" i="1" a="1"/>
  <c r="AP26" i="1" s="1"/>
  <c r="AO26" i="1"/>
  <c r="AX25" i="1"/>
  <c r="AT25" i="1" a="1"/>
  <c r="AT25" i="1" s="1"/>
  <c r="AS25" i="1"/>
  <c r="AR25" i="1"/>
  <c r="AQ25" i="1" a="1"/>
  <c r="AQ25" i="1" s="1"/>
  <c r="AP25" i="1" a="1"/>
  <c r="AP25" i="1" s="1"/>
  <c r="AO25" i="1"/>
  <c r="AX24" i="1"/>
  <c r="AT24" i="1" a="1"/>
  <c r="AT24" i="1" s="1"/>
  <c r="AS24" i="1"/>
  <c r="AR24" i="1"/>
  <c r="AQ24" i="1" a="1"/>
  <c r="AQ24" i="1" s="1"/>
  <c r="AP24" i="1" a="1"/>
  <c r="AP24" i="1" s="1"/>
  <c r="AO24" i="1"/>
  <c r="AX23" i="1"/>
  <c r="AT23" i="1" a="1"/>
  <c r="AT23" i="1" s="1"/>
  <c r="AS23" i="1"/>
  <c r="AR23" i="1"/>
  <c r="AQ23" i="1" a="1"/>
  <c r="AQ23" i="1" s="1"/>
  <c r="AP23" i="1" a="1"/>
  <c r="AP23" i="1" s="1"/>
  <c r="AO23" i="1"/>
  <c r="AX22" i="1"/>
  <c r="AT22" i="1" a="1"/>
  <c r="AT22" i="1" s="1"/>
  <c r="AS22" i="1"/>
  <c r="AR22" i="1"/>
  <c r="AQ22" i="1" a="1"/>
  <c r="AQ22" i="1" s="1"/>
  <c r="AP22" i="1" a="1"/>
  <c r="AP22" i="1" s="1"/>
  <c r="AO22" i="1"/>
  <c r="AX21" i="1"/>
  <c r="AT21" i="1" a="1"/>
  <c r="AT21" i="1" s="1"/>
  <c r="AS21" i="1"/>
  <c r="AR21" i="1"/>
  <c r="AQ21" i="1" a="1"/>
  <c r="AQ21" i="1" s="1"/>
  <c r="AP21" i="1" a="1"/>
  <c r="AP21" i="1" s="1"/>
  <c r="AO21" i="1"/>
  <c r="AX20" i="1"/>
  <c r="AT20" i="1" a="1"/>
  <c r="AT20" i="1" s="1"/>
  <c r="AS20" i="1"/>
  <c r="AR20" i="1"/>
  <c r="AQ20" i="1" a="1"/>
  <c r="AQ20" i="1" s="1"/>
  <c r="AP20" i="1" a="1"/>
  <c r="AP20" i="1" s="1"/>
  <c r="AO20" i="1"/>
  <c r="AX19" i="1"/>
  <c r="AT19" i="1" a="1"/>
  <c r="AT19" i="1" s="1"/>
  <c r="AS19" i="1"/>
  <c r="AR19" i="1"/>
  <c r="AQ19" i="1" a="1"/>
  <c r="AQ19" i="1" s="1"/>
  <c r="AP19" i="1" a="1"/>
  <c r="AP19" i="1" s="1"/>
  <c r="AO19" i="1"/>
  <c r="AX18" i="1"/>
  <c r="AT18" i="1" a="1"/>
  <c r="AT18" i="1" s="1"/>
  <c r="AS18" i="1"/>
  <c r="AR18" i="1"/>
  <c r="AQ18" i="1" a="1"/>
  <c r="AQ18" i="1" s="1"/>
  <c r="AP18" i="1" a="1"/>
  <c r="AP18" i="1" s="1"/>
  <c r="AO18" i="1"/>
  <c r="AX17" i="1"/>
  <c r="AT17" i="1" a="1"/>
  <c r="AT17" i="1" s="1"/>
  <c r="AS17" i="1"/>
  <c r="AR17" i="1"/>
  <c r="AQ17" i="1" a="1"/>
  <c r="AQ17" i="1" s="1"/>
  <c r="AP17" i="1" a="1"/>
  <c r="AP17" i="1" s="1"/>
  <c r="AO17" i="1"/>
  <c r="AX16" i="1"/>
  <c r="AT16" i="1" a="1"/>
  <c r="AT16" i="1" s="1"/>
  <c r="AS16" i="1"/>
  <c r="AR16" i="1"/>
  <c r="AQ16" i="1" a="1"/>
  <c r="AQ16" i="1" s="1"/>
  <c r="AP16" i="1" a="1"/>
  <c r="AP16" i="1" s="1"/>
  <c r="AO16" i="1"/>
  <c r="AX15" i="1"/>
  <c r="AT15" i="1" a="1"/>
  <c r="AT15" i="1" s="1"/>
  <c r="AS15" i="1"/>
  <c r="AR15" i="1"/>
  <c r="AQ15" i="1" a="1"/>
  <c r="AQ15" i="1" s="1"/>
  <c r="AP15" i="1" a="1"/>
  <c r="AP15" i="1" s="1"/>
  <c r="AO15" i="1"/>
  <c r="AX14" i="1"/>
  <c r="AT14" i="1" a="1"/>
  <c r="AT14" i="1" s="1"/>
  <c r="AS14" i="1"/>
  <c r="AR14" i="1"/>
  <c r="AQ14" i="1" a="1"/>
  <c r="AQ14" i="1" s="1"/>
  <c r="AP14" i="1" a="1"/>
  <c r="AP14" i="1" s="1"/>
  <c r="AO14" i="1"/>
  <c r="AX13" i="1"/>
  <c r="AT13" i="1" a="1"/>
  <c r="AT13" i="1" s="1"/>
  <c r="AS13" i="1"/>
  <c r="AR13" i="1"/>
  <c r="AQ13" i="1" a="1"/>
  <c r="AQ13" i="1" s="1"/>
  <c r="AP13" i="1" a="1"/>
  <c r="AP13" i="1" s="1"/>
  <c r="AO13" i="1"/>
  <c r="AX12" i="1"/>
  <c r="AT12" i="1" a="1"/>
  <c r="AT12" i="1" s="1"/>
  <c r="AS12" i="1"/>
  <c r="AR12" i="1"/>
  <c r="AQ12" i="1" a="1"/>
  <c r="AQ12" i="1" s="1"/>
  <c r="AP12" i="1" a="1"/>
  <c r="AP12" i="1" s="1"/>
  <c r="AO12" i="1"/>
  <c r="AX11" i="1"/>
  <c r="AT11" i="1" a="1"/>
  <c r="AT11" i="1" s="1"/>
  <c r="AS11" i="1"/>
  <c r="AR11" i="1"/>
  <c r="AQ11" i="1" a="1"/>
  <c r="AQ11" i="1" s="1"/>
  <c r="AP11" i="1" a="1"/>
  <c r="AP11" i="1" s="1"/>
  <c r="AO11" i="1"/>
  <c r="AX10" i="1"/>
  <c r="AT10" i="1" a="1"/>
  <c r="AT10" i="1" s="1"/>
  <c r="AS10" i="1"/>
  <c r="AR10" i="1"/>
  <c r="AQ10" i="1" a="1"/>
  <c r="AQ10" i="1" s="1"/>
  <c r="AP10" i="1" a="1"/>
  <c r="AP10" i="1" s="1"/>
  <c r="AO10" i="1"/>
  <c r="AX9" i="1"/>
  <c r="AT9" i="1" a="1"/>
  <c r="AT9" i="1" s="1"/>
  <c r="AS9" i="1"/>
  <c r="AR9" i="1"/>
  <c r="AQ9" i="1" a="1"/>
  <c r="AQ9" i="1" s="1"/>
  <c r="AP9" i="1" a="1"/>
  <c r="AP9" i="1" s="1"/>
  <c r="AO9" i="1"/>
  <c r="AX8" i="1"/>
  <c r="AT8" i="1" a="1"/>
  <c r="AT8" i="1" s="1"/>
  <c r="AS8" i="1"/>
  <c r="AR8" i="1"/>
  <c r="AQ8" i="1" a="1"/>
  <c r="AQ8" i="1" s="1"/>
  <c r="AP8" i="1" a="1"/>
  <c r="AP8" i="1" s="1"/>
  <c r="AO8" i="1"/>
  <c r="AX7" i="1"/>
  <c r="AT7" i="1" a="1"/>
  <c r="AT7" i="1" s="1"/>
  <c r="AS7" i="1"/>
  <c r="AR7" i="1"/>
  <c r="AQ7" i="1" a="1"/>
  <c r="AQ7" i="1" s="1"/>
  <c r="AP7" i="1" a="1"/>
  <c r="AP7" i="1" s="1"/>
  <c r="AO7" i="1"/>
  <c r="AX6" i="1"/>
  <c r="AT6" i="1" a="1"/>
  <c r="AT6" i="1" s="1"/>
  <c r="AS6" i="1"/>
  <c r="AR6" i="1"/>
  <c r="AQ6" i="1" a="1"/>
  <c r="AQ6" i="1" s="1"/>
  <c r="AP6" i="1" a="1"/>
  <c r="AP6" i="1" s="1"/>
  <c r="AO6" i="1"/>
  <c r="AB21" i="19"/>
  <c r="AC22" i="19"/>
  <c r="AI12" i="19" a="1"/>
  <c r="AI12" i="19" s="1"/>
  <c r="AB22" i="19"/>
  <c r="AD21" i="19" a="1"/>
  <c r="AD21" i="19" s="1"/>
  <c r="AC21" i="19" a="1"/>
  <c r="AC21" i="19" s="1"/>
  <c r="AE25" i="19"/>
  <c r="AE27" i="19"/>
  <c r="AE29" i="19"/>
  <c r="AE31" i="19"/>
  <c r="AE33" i="19"/>
  <c r="AE35" i="19"/>
  <c r="AE37" i="19"/>
  <c r="AE39" i="19"/>
  <c r="AE41" i="19"/>
  <c r="AE43" i="19"/>
  <c r="AE45" i="19"/>
  <c r="AE47" i="19"/>
  <c r="AE49" i="19"/>
  <c r="AE51" i="19"/>
  <c r="AE53" i="19"/>
  <c r="AE55" i="19"/>
  <c r="AE23" i="19"/>
  <c r="DX55" i="19"/>
  <c r="DW55" i="19"/>
  <c r="DX53" i="19"/>
  <c r="DW53" i="19"/>
  <c r="DX51" i="19"/>
  <c r="DW51" i="19"/>
  <c r="DX49" i="19"/>
  <c r="DW49" i="19"/>
  <c r="DX47" i="19"/>
  <c r="DW47" i="19"/>
  <c r="DX45" i="19"/>
  <c r="DW45" i="19"/>
  <c r="DX43" i="19"/>
  <c r="DW43" i="19"/>
  <c r="DX41" i="19"/>
  <c r="DW41" i="19"/>
  <c r="DX39" i="19"/>
  <c r="DW39" i="19"/>
  <c r="DX37" i="19"/>
  <c r="DW37" i="19"/>
  <c r="DX35" i="19"/>
  <c r="DW35" i="19"/>
  <c r="DX33" i="19"/>
  <c r="DW33" i="19"/>
  <c r="DX31" i="19"/>
  <c r="DW31" i="19"/>
  <c r="DX29" i="19"/>
  <c r="DW29" i="19"/>
  <c r="DX27" i="19"/>
  <c r="DW27" i="19"/>
  <c r="DX25" i="19"/>
  <c r="DW25" i="19"/>
  <c r="DX23" i="19"/>
  <c r="DW23" i="19"/>
  <c r="AD50" i="19" l="1"/>
  <c r="AD38" i="19"/>
  <c r="AD26" i="19"/>
  <c r="AD56" i="19"/>
  <c r="AD44" i="19"/>
  <c r="AD32" i="19"/>
  <c r="CS23" i="19"/>
  <c r="CS53" i="19"/>
  <c r="CS41" i="19"/>
  <c r="CY29" i="19"/>
  <c r="CS47" i="19"/>
  <c r="CS35" i="19"/>
  <c r="CY53" i="19"/>
  <c r="CY41" i="19"/>
  <c r="DY27" i="19"/>
  <c r="DY51" i="19"/>
  <c r="DY35" i="19"/>
  <c r="DY43" i="19"/>
  <c r="DY49" i="19"/>
  <c r="DY31" i="19"/>
  <c r="DY39" i="19"/>
  <c r="DY37" i="19"/>
  <c r="DY47" i="19"/>
  <c r="DY25" i="19"/>
  <c r="DY33" i="19"/>
  <c r="DY55" i="19"/>
  <c r="DY23" i="19"/>
  <c r="DY53" i="19"/>
  <c r="DY29" i="19"/>
  <c r="DY41" i="19"/>
  <c r="DY45" i="19"/>
  <c r="CY23" i="19" l="1"/>
  <c r="CS39" i="19"/>
  <c r="CY39" i="19"/>
  <c r="CS51" i="19"/>
  <c r="CY51" i="19"/>
  <c r="CS27" i="19"/>
  <c r="CY27" i="19"/>
  <c r="CY35" i="19"/>
  <c r="CY47" i="19"/>
  <c r="CS45" i="19"/>
  <c r="CY45" i="19"/>
  <c r="CY33" i="19"/>
  <c r="CS33" i="19"/>
  <c r="CS29" i="19"/>
  <c r="CY31" i="19"/>
  <c r="CS31" i="19"/>
  <c r="CY43" i="19"/>
  <c r="CS43" i="19"/>
  <c r="CS55" i="19"/>
  <c r="CY55" i="19"/>
  <c r="CY25" i="19"/>
  <c r="CS25" i="19"/>
  <c r="CS37" i="19"/>
  <c r="CY37" i="19"/>
  <c r="CY49" i="19"/>
  <c r="CS49" i="19"/>
  <c r="CS21" i="19"/>
  <c r="CY21" i="19"/>
  <c r="CD7" i="1" a="1"/>
  <c r="CD7" i="1" s="1"/>
  <c r="CD8" i="1" a="1"/>
  <c r="CD8" i="1" s="1"/>
  <c r="CD9" i="1" a="1"/>
  <c r="CD9" i="1" s="1"/>
  <c r="CD10" i="1" a="1"/>
  <c r="CD10" i="1"/>
  <c r="CD11" i="1" a="1"/>
  <c r="CD11" i="1"/>
  <c r="CD12" i="1" a="1"/>
  <c r="CD12" i="1"/>
  <c r="CD13" i="1" a="1"/>
  <c r="CD13" i="1" s="1"/>
  <c r="CD14" i="1" a="1"/>
  <c r="CD14" i="1" s="1"/>
  <c r="CD15" i="1" a="1"/>
  <c r="CD15" i="1" s="1"/>
  <c r="CD16" i="1" a="1"/>
  <c r="CD16" i="1" s="1"/>
  <c r="CD17" i="1" a="1"/>
  <c r="CD17" i="1" s="1"/>
  <c r="CD18" i="1" a="1"/>
  <c r="CD18" i="1"/>
  <c r="CD19" i="1" a="1"/>
  <c r="CD19" i="1" s="1"/>
  <c r="CD20" i="1" a="1"/>
  <c r="CD20" i="1"/>
  <c r="CD21" i="1" a="1"/>
  <c r="CD21" i="1" s="1"/>
  <c r="CD22" i="1" a="1"/>
  <c r="CD22" i="1" s="1"/>
  <c r="CD23" i="1" a="1"/>
  <c r="CD23" i="1" s="1"/>
  <c r="CD24" i="1" a="1"/>
  <c r="CD24" i="1" s="1"/>
  <c r="CD25" i="1" a="1"/>
  <c r="CD25" i="1" s="1"/>
  <c r="CD26" i="1" a="1"/>
  <c r="CD26" i="1" s="1"/>
  <c r="CD27" i="1" a="1"/>
  <c r="CD27" i="1" s="1"/>
  <c r="CD28" i="1" a="1"/>
  <c r="CD28" i="1"/>
  <c r="CD29" i="1" a="1"/>
  <c r="CD29" i="1"/>
  <c r="CD30" i="1" a="1"/>
  <c r="CD30" i="1" s="1"/>
  <c r="CD31" i="1" a="1"/>
  <c r="CD31" i="1" s="1"/>
  <c r="CD32" i="1" a="1"/>
  <c r="CD32" i="1" s="1"/>
  <c r="CD33" i="1" a="1"/>
  <c r="CD33" i="1" s="1"/>
  <c r="CD34" i="1" a="1"/>
  <c r="CD34" i="1"/>
  <c r="CD35" i="1" a="1"/>
  <c r="CD35" i="1"/>
  <c r="CD36" i="1" a="1"/>
  <c r="CD36" i="1"/>
  <c r="CD37" i="1" a="1"/>
  <c r="CD37" i="1" s="1"/>
  <c r="CD38" i="1" a="1"/>
  <c r="CD38" i="1" s="1"/>
  <c r="CD39" i="1" a="1"/>
  <c r="CD39" i="1" s="1"/>
  <c r="CD6" i="1" a="1"/>
  <c r="CD6" i="1" s="1"/>
  <c r="BE39" i="1"/>
  <c r="BE37" i="1"/>
  <c r="BE35" i="1"/>
  <c r="BE33" i="1"/>
  <c r="BE31" i="1"/>
  <c r="BE26" i="1"/>
  <c r="BE27" i="1" s="1"/>
  <c r="BE28" i="1" s="1"/>
  <c r="BE29" i="1" s="1"/>
  <c r="BE21" i="1"/>
  <c r="BE22" i="1" s="1"/>
  <c r="BE23" i="1" s="1"/>
  <c r="BE24" i="1" s="1"/>
  <c r="BE16" i="1"/>
  <c r="BE17" i="1" s="1"/>
  <c r="BE18" i="1" s="1"/>
  <c r="BE19" i="1" s="1"/>
  <c r="BE11" i="1"/>
  <c r="BE12" i="1" s="1"/>
  <c r="BE13" i="1" s="1"/>
  <c r="BE14" i="1" s="1"/>
  <c r="BE7" i="1"/>
  <c r="BE8" i="1" s="1"/>
  <c r="BE9" i="1" s="1"/>
  <c r="BF7" i="1" a="1"/>
  <c r="BF7" i="1" s="1"/>
  <c r="BF8" i="1" a="1"/>
  <c r="BF8" i="1" s="1"/>
  <c r="BF9" i="1" a="1"/>
  <c r="BF9" i="1" s="1"/>
  <c r="BF10" i="1" a="1"/>
  <c r="BF10" i="1"/>
  <c r="BF11" i="1" a="1"/>
  <c r="BF11" i="1" s="1"/>
  <c r="BF12" i="1" a="1"/>
  <c r="BF12" i="1" s="1"/>
  <c r="BF13" i="1" a="1"/>
  <c r="BF13" i="1" s="1"/>
  <c r="BF14" i="1" a="1"/>
  <c r="BF14" i="1" s="1"/>
  <c r="BF15" i="1" a="1"/>
  <c r="BF15" i="1" s="1"/>
  <c r="BF16" i="1" a="1"/>
  <c r="BF16" i="1" s="1"/>
  <c r="BF17" i="1" a="1"/>
  <c r="BF17" i="1"/>
  <c r="BF18" i="1" a="1"/>
  <c r="BF18" i="1" s="1"/>
  <c r="BF19" i="1" a="1"/>
  <c r="BF19" i="1" s="1"/>
  <c r="BF20" i="1" a="1"/>
  <c r="BF20" i="1" s="1"/>
  <c r="BF21" i="1" a="1"/>
  <c r="BF21" i="1" s="1"/>
  <c r="BF22" i="1" a="1"/>
  <c r="BF22" i="1" s="1"/>
  <c r="BF23" i="1" a="1"/>
  <c r="BF23" i="1" s="1"/>
  <c r="BF24" i="1" a="1"/>
  <c r="BF24" i="1" s="1"/>
  <c r="BF25" i="1" a="1"/>
  <c r="BF25" i="1" s="1"/>
  <c r="BF26" i="1" a="1"/>
  <c r="BF26" i="1"/>
  <c r="BF27" i="1" a="1"/>
  <c r="BF27" i="1" s="1"/>
  <c r="BF28" i="1" a="1"/>
  <c r="BF28" i="1" s="1"/>
  <c r="BF29" i="1" a="1"/>
  <c r="BF29" i="1"/>
  <c r="BF30" i="1" a="1"/>
  <c r="BF30" i="1" s="1"/>
  <c r="BF31" i="1" a="1"/>
  <c r="BF31" i="1" s="1"/>
  <c r="BF32" i="1" a="1"/>
  <c r="BF32" i="1" s="1"/>
  <c r="BF33" i="1" a="1"/>
  <c r="BF33" i="1" s="1"/>
  <c r="BF34" i="1" a="1"/>
  <c r="BF34" i="1"/>
  <c r="BF35" i="1" a="1"/>
  <c r="BF35" i="1" s="1"/>
  <c r="BF36" i="1" a="1"/>
  <c r="BF36" i="1"/>
  <c r="BF37" i="1" a="1"/>
  <c r="BF37" i="1" s="1"/>
  <c r="BF38" i="1" a="1"/>
  <c r="BF38" i="1"/>
  <c r="BF39" i="1" a="1"/>
  <c r="BF39" i="1" s="1"/>
  <c r="BF6" i="1" a="1"/>
  <c r="BF6" i="1" s="1"/>
  <c r="BD32" i="1" a="1"/>
  <c r="BD32" i="1" s="1"/>
  <c r="BD33" i="1" s="1"/>
  <c r="BD34" i="1" a="1"/>
  <c r="BD34" i="1" s="1"/>
  <c r="BD35" i="1" s="1"/>
  <c r="BD36" i="1" a="1"/>
  <c r="BD36" i="1" s="1"/>
  <c r="BD37" i="1" s="1"/>
  <c r="BD38" i="1" a="1"/>
  <c r="BD38" i="1" s="1"/>
  <c r="BD39" i="1" s="1"/>
  <c r="BD30" i="1" a="1"/>
  <c r="BD30" i="1" s="1"/>
  <c r="BD31" i="1" s="1"/>
  <c r="BD15" i="1" a="1"/>
  <c r="BD15" i="1" s="1"/>
  <c r="BD16" i="1" s="1"/>
  <c r="BD17" i="1" s="1"/>
  <c r="BD18" i="1" s="1"/>
  <c r="BD19" i="1" s="1"/>
  <c r="BD20" i="1" a="1"/>
  <c r="BD20" i="1" s="1"/>
  <c r="BD21" i="1" s="1"/>
  <c r="BD22" i="1" s="1"/>
  <c r="BD23" i="1" s="1"/>
  <c r="BD24" i="1" s="1"/>
  <c r="BD25" i="1" a="1"/>
  <c r="BD25" i="1" s="1"/>
  <c r="BD26" i="1" s="1"/>
  <c r="BD27" i="1" s="1"/>
  <c r="BD28" i="1" s="1"/>
  <c r="BD29" i="1" s="1"/>
  <c r="BD10" i="1" a="1"/>
  <c r="BD10" i="1"/>
  <c r="BD14" i="1" s="1"/>
  <c r="BD6" i="1" a="1"/>
  <c r="BD6" i="1" s="1"/>
  <c r="BD9" i="1" s="1"/>
  <c r="BD7" i="1" l="1"/>
  <c r="BD8" i="1"/>
  <c r="BD11" i="1"/>
  <c r="BD12" i="1"/>
  <c r="BD13" i="1"/>
  <c r="BC32" i="1" a="1"/>
  <c r="BC32" i="1" s="1"/>
  <c r="CB32" i="1" s="1"/>
  <c r="BC34" i="1" a="1"/>
  <c r="BC34" i="1" s="1"/>
  <c r="CB34" i="1" s="1"/>
  <c r="BC36" i="1" a="1"/>
  <c r="BC36" i="1" s="1"/>
  <c r="CB36" i="1" s="1"/>
  <c r="BC38" i="1" a="1"/>
  <c r="BC38" i="1" s="1"/>
  <c r="CB38" i="1" s="1"/>
  <c r="BC30" i="1" a="1"/>
  <c r="BC30" i="1" s="1"/>
  <c r="CB30" i="1" s="1"/>
  <c r="BC25" i="1" a="1"/>
  <c r="BC25" i="1" s="1"/>
  <c r="CB25" i="1" s="1"/>
  <c r="BC15" i="1" a="1"/>
  <c r="BC15" i="1" s="1"/>
  <c r="CB15" i="1" s="1"/>
  <c r="BC20" i="1" a="1"/>
  <c r="BC20" i="1" s="1"/>
  <c r="CB20" i="1" s="1"/>
  <c r="BC10" i="1" a="1"/>
  <c r="BC10" i="1" s="1"/>
  <c r="CB10" i="1" s="1"/>
  <c r="BC6" i="1" a="1"/>
  <c r="BC6" i="1" s="1"/>
  <c r="CB6" i="1" s="1"/>
  <c r="BB15" i="1" l="1"/>
  <c r="BC16" i="1"/>
  <c r="CB16" i="1" s="1"/>
  <c r="BB25" i="1"/>
  <c r="BC26" i="1"/>
  <c r="CB26" i="1" s="1"/>
  <c r="BC31" i="1"/>
  <c r="BB30" i="1"/>
  <c r="BB38" i="1"/>
  <c r="BC39" i="1"/>
  <c r="BC37" i="1"/>
  <c r="BB36" i="1"/>
  <c r="BC35" i="1"/>
  <c r="BB34" i="1"/>
  <c r="BB32" i="1"/>
  <c r="BC33" i="1"/>
  <c r="BB6" i="1"/>
  <c r="BC7" i="1"/>
  <c r="CB7" i="1" s="1"/>
  <c r="BB10" i="1"/>
  <c r="BC11" i="1"/>
  <c r="CB11" i="1" s="1"/>
  <c r="BB20" i="1"/>
  <c r="BC21" i="1"/>
  <c r="CB21" i="1" s="1"/>
  <c r="BB33" i="1" l="1"/>
  <c r="CB33" i="1"/>
  <c r="BB35" i="1"/>
  <c r="CB35" i="1"/>
  <c r="BB37" i="1"/>
  <c r="CB37" i="1"/>
  <c r="BB39" i="1"/>
  <c r="CB39" i="1"/>
  <c r="BB31" i="1"/>
  <c r="CB31" i="1"/>
  <c r="BC22" i="1"/>
  <c r="CB22" i="1" s="1"/>
  <c r="BB21" i="1"/>
  <c r="BC12" i="1"/>
  <c r="CB12" i="1" s="1"/>
  <c r="BB11" i="1"/>
  <c r="BC8" i="1"/>
  <c r="CB8" i="1" s="1"/>
  <c r="BB7" i="1"/>
  <c r="BC27" i="1"/>
  <c r="CB27" i="1" s="1"/>
  <c r="BB26" i="1"/>
  <c r="BC17" i="1"/>
  <c r="CB17" i="1" s="1"/>
  <c r="BB16" i="1"/>
  <c r="BC18" i="1" l="1"/>
  <c r="CB18" i="1" s="1"/>
  <c r="BB17" i="1"/>
  <c r="BC28" i="1"/>
  <c r="CB28" i="1" s="1"/>
  <c r="BB27" i="1"/>
  <c r="BC9" i="1"/>
  <c r="BB8" i="1"/>
  <c r="BC13" i="1"/>
  <c r="CB13" i="1" s="1"/>
  <c r="BB12" i="1"/>
  <c r="BC23" i="1"/>
  <c r="CB23" i="1" s="1"/>
  <c r="BB22" i="1"/>
  <c r="BB9" i="1" l="1"/>
  <c r="CB9" i="1"/>
  <c r="BC24" i="1"/>
  <c r="BB23" i="1"/>
  <c r="BC14" i="1"/>
  <c r="BB13" i="1"/>
  <c r="BC29" i="1"/>
  <c r="BB28" i="1"/>
  <c r="BC19" i="1"/>
  <c r="BB18" i="1"/>
  <c r="B405" i="1"/>
  <c r="G405" i="1"/>
  <c r="I405" i="1"/>
  <c r="K405" i="1"/>
  <c r="B421" i="1"/>
  <c r="Q421" i="1" s="1"/>
  <c r="G421" i="1"/>
  <c r="I421" i="1"/>
  <c r="K421" i="1"/>
  <c r="B406" i="1"/>
  <c r="G406" i="1"/>
  <c r="I406" i="1"/>
  <c r="K406" i="1"/>
  <c r="B407" i="1"/>
  <c r="G407" i="1"/>
  <c r="I407" i="1"/>
  <c r="K407" i="1"/>
  <c r="B408" i="1"/>
  <c r="G408" i="1"/>
  <c r="I408" i="1"/>
  <c r="K408" i="1"/>
  <c r="B409" i="1"/>
  <c r="Q409" i="1" s="1"/>
  <c r="G409" i="1"/>
  <c r="I409" i="1"/>
  <c r="K409" i="1"/>
  <c r="B410" i="1"/>
  <c r="Q410" i="1" s="1"/>
  <c r="G410" i="1"/>
  <c r="I410" i="1"/>
  <c r="K410" i="1"/>
  <c r="B411" i="1"/>
  <c r="Q411" i="1" s="1"/>
  <c r="G411" i="1"/>
  <c r="I411" i="1"/>
  <c r="K411" i="1"/>
  <c r="B412" i="1"/>
  <c r="Q412" i="1" s="1"/>
  <c r="G412" i="1"/>
  <c r="I412" i="1"/>
  <c r="K412" i="1"/>
  <c r="B413" i="1"/>
  <c r="Q413" i="1" s="1"/>
  <c r="G413" i="1"/>
  <c r="I413" i="1"/>
  <c r="K413" i="1"/>
  <c r="B414" i="1"/>
  <c r="Q414" i="1" s="1"/>
  <c r="G414" i="1"/>
  <c r="I414" i="1"/>
  <c r="K414" i="1"/>
  <c r="B415" i="1"/>
  <c r="Q415" i="1" s="1"/>
  <c r="G415" i="1"/>
  <c r="I415" i="1"/>
  <c r="K415" i="1"/>
  <c r="B416" i="1"/>
  <c r="Q416" i="1" s="1"/>
  <c r="G416" i="1"/>
  <c r="I416" i="1"/>
  <c r="K416" i="1"/>
  <c r="B417" i="1"/>
  <c r="Q417" i="1" s="1"/>
  <c r="G417" i="1"/>
  <c r="I417" i="1"/>
  <c r="K417" i="1"/>
  <c r="B418" i="1"/>
  <c r="Q418" i="1" s="1"/>
  <c r="G418" i="1"/>
  <c r="I418" i="1"/>
  <c r="K418" i="1"/>
  <c r="B419" i="1"/>
  <c r="Q419" i="1" s="1"/>
  <c r="G419" i="1"/>
  <c r="I419" i="1"/>
  <c r="K419" i="1"/>
  <c r="B420" i="1"/>
  <c r="Q420" i="1" s="1"/>
  <c r="G420" i="1"/>
  <c r="I420" i="1"/>
  <c r="K420" i="1"/>
  <c r="B422" i="1"/>
  <c r="Q422" i="1" s="1"/>
  <c r="G422" i="1"/>
  <c r="I422" i="1"/>
  <c r="K422" i="1"/>
  <c r="B423" i="1"/>
  <c r="Q423" i="1" s="1"/>
  <c r="G423" i="1"/>
  <c r="I423" i="1"/>
  <c r="K423" i="1"/>
  <c r="B424" i="1"/>
  <c r="Q424" i="1" s="1"/>
  <c r="G424" i="1"/>
  <c r="I424" i="1"/>
  <c r="K424" i="1"/>
  <c r="B425" i="1"/>
  <c r="Q425" i="1" s="1"/>
  <c r="G425" i="1"/>
  <c r="I425" i="1"/>
  <c r="K425" i="1"/>
  <c r="B426" i="1"/>
  <c r="Q426" i="1" s="1"/>
  <c r="G426" i="1"/>
  <c r="I426" i="1"/>
  <c r="K426" i="1"/>
  <c r="B427" i="1"/>
  <c r="Q427" i="1" s="1"/>
  <c r="G427" i="1"/>
  <c r="I427" i="1"/>
  <c r="K427" i="1"/>
  <c r="B428" i="1"/>
  <c r="Q428" i="1" s="1"/>
  <c r="G428" i="1"/>
  <c r="I428" i="1"/>
  <c r="K428" i="1"/>
  <c r="B429" i="1"/>
  <c r="Q429" i="1" s="1"/>
  <c r="G429" i="1"/>
  <c r="I429" i="1"/>
  <c r="K429" i="1"/>
  <c r="B430" i="1"/>
  <c r="Q430" i="1" s="1"/>
  <c r="G430" i="1"/>
  <c r="I430" i="1"/>
  <c r="K430" i="1"/>
  <c r="B431" i="1"/>
  <c r="Q431" i="1" s="1"/>
  <c r="G431" i="1"/>
  <c r="I431" i="1"/>
  <c r="K431" i="1"/>
  <c r="B432" i="1"/>
  <c r="Q432" i="1" s="1"/>
  <c r="G432" i="1"/>
  <c r="I432" i="1"/>
  <c r="K432" i="1"/>
  <c r="B433" i="1"/>
  <c r="G433" i="1"/>
  <c r="I433" i="1"/>
  <c r="K433" i="1"/>
  <c r="Q433" i="1"/>
  <c r="B434" i="1"/>
  <c r="Q434" i="1" s="1"/>
  <c r="G434" i="1"/>
  <c r="I434" i="1"/>
  <c r="K434" i="1"/>
  <c r="B435" i="1"/>
  <c r="Q435" i="1" s="1"/>
  <c r="G435" i="1"/>
  <c r="I435" i="1"/>
  <c r="K435" i="1"/>
  <c r="B436" i="1"/>
  <c r="Q436" i="1" s="1"/>
  <c r="G436" i="1"/>
  <c r="I436" i="1"/>
  <c r="K436" i="1"/>
  <c r="B437" i="1"/>
  <c r="Q437" i="1" s="1"/>
  <c r="G437" i="1"/>
  <c r="I437" i="1"/>
  <c r="K437" i="1"/>
  <c r="B438" i="1"/>
  <c r="Q438" i="1" s="1"/>
  <c r="G438" i="1"/>
  <c r="I438" i="1"/>
  <c r="K438" i="1"/>
  <c r="B439" i="1"/>
  <c r="Q439" i="1" s="1"/>
  <c r="G439" i="1"/>
  <c r="I439" i="1"/>
  <c r="K439" i="1"/>
  <c r="B440" i="1"/>
  <c r="Q440" i="1" s="1"/>
  <c r="G440" i="1"/>
  <c r="I440" i="1"/>
  <c r="K440" i="1"/>
  <c r="B441" i="1"/>
  <c r="Q441" i="1" s="1"/>
  <c r="G441" i="1"/>
  <c r="I441" i="1"/>
  <c r="K441" i="1"/>
  <c r="B442" i="1"/>
  <c r="Q442" i="1" s="1"/>
  <c r="G442" i="1"/>
  <c r="I442" i="1"/>
  <c r="K442" i="1"/>
  <c r="B443" i="1"/>
  <c r="Q443" i="1" s="1"/>
  <c r="G443" i="1"/>
  <c r="I443" i="1"/>
  <c r="K443" i="1"/>
  <c r="B444" i="1"/>
  <c r="Q444" i="1" s="1"/>
  <c r="G444" i="1"/>
  <c r="I444" i="1"/>
  <c r="K444" i="1"/>
  <c r="B445" i="1"/>
  <c r="Q445" i="1" s="1"/>
  <c r="G445" i="1"/>
  <c r="I445" i="1"/>
  <c r="K445" i="1"/>
  <c r="B446" i="1"/>
  <c r="Q446" i="1" s="1"/>
  <c r="G446" i="1"/>
  <c r="I446" i="1"/>
  <c r="K446" i="1"/>
  <c r="B447" i="1"/>
  <c r="Q447" i="1" s="1"/>
  <c r="G447" i="1"/>
  <c r="I447" i="1"/>
  <c r="K447" i="1"/>
  <c r="B448" i="1"/>
  <c r="Q448" i="1" s="1"/>
  <c r="G448" i="1"/>
  <c r="I448" i="1"/>
  <c r="K448" i="1"/>
  <c r="B449" i="1"/>
  <c r="Q449" i="1" s="1"/>
  <c r="G449" i="1"/>
  <c r="I449" i="1"/>
  <c r="K449" i="1"/>
  <c r="B450" i="1"/>
  <c r="Q450" i="1" s="1"/>
  <c r="G450" i="1"/>
  <c r="I450" i="1"/>
  <c r="K450" i="1"/>
  <c r="B451" i="1"/>
  <c r="Q451" i="1" s="1"/>
  <c r="G451" i="1"/>
  <c r="I451" i="1"/>
  <c r="K451" i="1"/>
  <c r="B452" i="1"/>
  <c r="Q452" i="1" s="1"/>
  <c r="G452" i="1"/>
  <c r="I452" i="1"/>
  <c r="K452" i="1"/>
  <c r="B453" i="1"/>
  <c r="Q453" i="1" s="1"/>
  <c r="G453" i="1"/>
  <c r="I453" i="1"/>
  <c r="K453" i="1"/>
  <c r="B454" i="1"/>
  <c r="Q454" i="1" s="1"/>
  <c r="G454" i="1"/>
  <c r="I454" i="1"/>
  <c r="K454" i="1"/>
  <c r="B455" i="1"/>
  <c r="Q455" i="1" s="1"/>
  <c r="G455" i="1"/>
  <c r="I455" i="1"/>
  <c r="K455" i="1"/>
  <c r="B456" i="1"/>
  <c r="Q456" i="1" s="1"/>
  <c r="G456" i="1"/>
  <c r="I456" i="1"/>
  <c r="K456" i="1"/>
  <c r="B457" i="1"/>
  <c r="Q457" i="1" s="1"/>
  <c r="G457" i="1"/>
  <c r="I457" i="1"/>
  <c r="K457" i="1"/>
  <c r="B458" i="1"/>
  <c r="Q458" i="1" s="1"/>
  <c r="G458" i="1"/>
  <c r="I458" i="1"/>
  <c r="K458" i="1"/>
  <c r="B459" i="1"/>
  <c r="Q459" i="1" s="1"/>
  <c r="G459" i="1"/>
  <c r="I459" i="1"/>
  <c r="K459" i="1"/>
  <c r="B460" i="1"/>
  <c r="Q460" i="1" s="1"/>
  <c r="G460" i="1"/>
  <c r="I460" i="1"/>
  <c r="K460" i="1"/>
  <c r="B461" i="1"/>
  <c r="Q461" i="1" s="1"/>
  <c r="G461" i="1"/>
  <c r="I461" i="1"/>
  <c r="K461" i="1"/>
  <c r="B462" i="1"/>
  <c r="Q462" i="1" s="1"/>
  <c r="G462" i="1"/>
  <c r="I462" i="1"/>
  <c r="K462" i="1"/>
  <c r="B463" i="1"/>
  <c r="Q463" i="1" s="1"/>
  <c r="G463" i="1"/>
  <c r="I463" i="1"/>
  <c r="K463" i="1"/>
  <c r="B464" i="1"/>
  <c r="Q464" i="1" s="1"/>
  <c r="G464" i="1"/>
  <c r="I464" i="1"/>
  <c r="K464" i="1"/>
  <c r="B465" i="1"/>
  <c r="Q465" i="1" s="1"/>
  <c r="G465" i="1"/>
  <c r="I465" i="1"/>
  <c r="K465" i="1"/>
  <c r="B466" i="1"/>
  <c r="Q466" i="1" s="1"/>
  <c r="G466" i="1"/>
  <c r="I466" i="1"/>
  <c r="K466" i="1"/>
  <c r="B467" i="1"/>
  <c r="Q467" i="1" s="1"/>
  <c r="G467" i="1"/>
  <c r="I467" i="1"/>
  <c r="K467" i="1"/>
  <c r="B468" i="1"/>
  <c r="Q468" i="1" s="1"/>
  <c r="G468" i="1"/>
  <c r="I468" i="1"/>
  <c r="K468" i="1"/>
  <c r="B469" i="1"/>
  <c r="Q469" i="1" s="1"/>
  <c r="G469" i="1"/>
  <c r="I469" i="1"/>
  <c r="K469" i="1"/>
  <c r="B470" i="1"/>
  <c r="Q470" i="1" s="1"/>
  <c r="G470" i="1"/>
  <c r="I470" i="1"/>
  <c r="K470" i="1"/>
  <c r="BB29" i="1" l="1"/>
  <c r="CB29" i="1"/>
  <c r="BB14" i="1"/>
  <c r="CB14" i="1"/>
  <c r="BB19" i="1"/>
  <c r="CB19" i="1"/>
  <c r="BB24" i="1"/>
  <c r="CB24" i="1"/>
  <c r="Q406" i="1"/>
  <c r="Q405" i="1"/>
  <c r="Q408" i="1"/>
  <c r="Q407" i="1"/>
  <c r="K404" i="1"/>
  <c r="I404" i="1"/>
  <c r="G404" i="1"/>
  <c r="B404" i="1"/>
  <c r="B403" i="1"/>
  <c r="K402" i="1"/>
  <c r="I402" i="1"/>
  <c r="G402" i="1"/>
  <c r="B402" i="1"/>
  <c r="K401" i="1"/>
  <c r="I401" i="1"/>
  <c r="G401" i="1"/>
  <c r="B401" i="1"/>
  <c r="B400" i="1"/>
  <c r="K399" i="1"/>
  <c r="I399" i="1"/>
  <c r="G399" i="1"/>
  <c r="B399" i="1"/>
  <c r="K398" i="1"/>
  <c r="I398" i="1"/>
  <c r="G398" i="1"/>
  <c r="B398" i="1"/>
  <c r="K397" i="1"/>
  <c r="I397" i="1"/>
  <c r="G397" i="1"/>
  <c r="B397" i="1"/>
  <c r="B396" i="1"/>
  <c r="K395" i="1"/>
  <c r="I395" i="1"/>
  <c r="G395" i="1"/>
  <c r="B395" i="1"/>
  <c r="K394" i="1"/>
  <c r="I394" i="1"/>
  <c r="G394" i="1"/>
  <c r="B394" i="1"/>
  <c r="B393" i="1"/>
  <c r="K392" i="1"/>
  <c r="I392" i="1"/>
  <c r="G392" i="1"/>
  <c r="B392" i="1"/>
  <c r="K391" i="1"/>
  <c r="I391" i="1"/>
  <c r="G391" i="1"/>
  <c r="B391" i="1"/>
  <c r="K390" i="1"/>
  <c r="I390" i="1"/>
  <c r="G390" i="1"/>
  <c r="B390" i="1"/>
  <c r="K389" i="1"/>
  <c r="I389" i="1"/>
  <c r="G389" i="1"/>
  <c r="B389" i="1"/>
  <c r="K388" i="1"/>
  <c r="I388" i="1"/>
  <c r="G388" i="1"/>
  <c r="B388" i="1"/>
  <c r="K387" i="1"/>
  <c r="I387" i="1"/>
  <c r="G387" i="1"/>
  <c r="B387" i="1"/>
  <c r="B386" i="1"/>
  <c r="K385" i="1"/>
  <c r="I385" i="1"/>
  <c r="G385" i="1"/>
  <c r="B385" i="1"/>
  <c r="B384" i="1"/>
  <c r="K383" i="1"/>
  <c r="I383" i="1"/>
  <c r="G383" i="1"/>
  <c r="B383" i="1"/>
  <c r="K382" i="1"/>
  <c r="I382" i="1"/>
  <c r="G382" i="1"/>
  <c r="B382" i="1"/>
  <c r="K381" i="1"/>
  <c r="I381" i="1"/>
  <c r="G381" i="1"/>
  <c r="B381" i="1"/>
  <c r="K380" i="1"/>
  <c r="I380" i="1"/>
  <c r="G380" i="1"/>
  <c r="B380" i="1"/>
  <c r="B379" i="1"/>
  <c r="K378" i="1"/>
  <c r="I378" i="1"/>
  <c r="G378" i="1"/>
  <c r="B378" i="1"/>
  <c r="K377" i="1"/>
  <c r="I377" i="1"/>
  <c r="G377" i="1"/>
  <c r="B377" i="1"/>
  <c r="K376" i="1"/>
  <c r="I376" i="1"/>
  <c r="G376" i="1"/>
  <c r="B376" i="1"/>
  <c r="K375" i="1"/>
  <c r="I375" i="1"/>
  <c r="G375" i="1"/>
  <c r="B375" i="1"/>
  <c r="K374" i="1"/>
  <c r="I374" i="1"/>
  <c r="G374" i="1"/>
  <c r="B374" i="1"/>
  <c r="K373" i="1"/>
  <c r="I373" i="1"/>
  <c r="G373" i="1"/>
  <c r="B373" i="1"/>
  <c r="K372" i="1"/>
  <c r="I372" i="1"/>
  <c r="G372" i="1"/>
  <c r="B372" i="1"/>
  <c r="B371" i="1"/>
  <c r="K370" i="1"/>
  <c r="I370" i="1"/>
  <c r="G370" i="1"/>
  <c r="B370" i="1"/>
  <c r="K369" i="1"/>
  <c r="I369" i="1"/>
  <c r="G369" i="1"/>
  <c r="B369" i="1"/>
  <c r="K368" i="1"/>
  <c r="I368" i="1"/>
  <c r="G368" i="1"/>
  <c r="B368" i="1"/>
  <c r="K367" i="1"/>
  <c r="I367" i="1"/>
  <c r="G367" i="1"/>
  <c r="B367" i="1"/>
  <c r="K366" i="1"/>
  <c r="I366" i="1"/>
  <c r="G366" i="1"/>
  <c r="B366" i="1"/>
  <c r="K365" i="1"/>
  <c r="I365" i="1"/>
  <c r="G365" i="1"/>
  <c r="B365" i="1"/>
  <c r="K364" i="1"/>
  <c r="I364" i="1"/>
  <c r="G364" i="1"/>
  <c r="B364" i="1"/>
  <c r="K363" i="1"/>
  <c r="I363" i="1"/>
  <c r="G363" i="1"/>
  <c r="B363" i="1"/>
  <c r="B362" i="1"/>
  <c r="K361" i="1"/>
  <c r="I361" i="1"/>
  <c r="G361" i="1"/>
  <c r="B361" i="1"/>
  <c r="K360" i="1"/>
  <c r="I360" i="1"/>
  <c r="G360" i="1"/>
  <c r="B360" i="1"/>
  <c r="K359" i="1"/>
  <c r="I359" i="1"/>
  <c r="G359" i="1"/>
  <c r="B359" i="1"/>
  <c r="K358" i="1"/>
  <c r="I358" i="1"/>
  <c r="G358" i="1"/>
  <c r="B358" i="1"/>
  <c r="K357" i="1"/>
  <c r="I357" i="1"/>
  <c r="G357" i="1"/>
  <c r="B357" i="1"/>
  <c r="K356" i="1"/>
  <c r="I356" i="1"/>
  <c r="G356" i="1"/>
  <c r="B356" i="1"/>
  <c r="K355" i="1"/>
  <c r="I355" i="1"/>
  <c r="G355" i="1"/>
  <c r="B355" i="1"/>
  <c r="K354" i="1"/>
  <c r="I354" i="1"/>
  <c r="G354" i="1"/>
  <c r="B354" i="1"/>
  <c r="K353" i="1"/>
  <c r="I353" i="1"/>
  <c r="G353" i="1"/>
  <c r="B353" i="1"/>
  <c r="K352" i="1"/>
  <c r="I352" i="1"/>
  <c r="G352" i="1"/>
  <c r="B352" i="1"/>
  <c r="K351" i="1"/>
  <c r="I351" i="1"/>
  <c r="G351" i="1"/>
  <c r="B351" i="1"/>
  <c r="K350" i="1"/>
  <c r="I350" i="1"/>
  <c r="G350" i="1"/>
  <c r="B350" i="1"/>
  <c r="K349" i="1"/>
  <c r="I349" i="1"/>
  <c r="G349" i="1"/>
  <c r="B349" i="1"/>
  <c r="K348" i="1"/>
  <c r="I348" i="1"/>
  <c r="G348" i="1"/>
  <c r="B348" i="1"/>
  <c r="K347" i="1"/>
  <c r="I347" i="1"/>
  <c r="G347" i="1"/>
  <c r="B347" i="1"/>
  <c r="K346" i="1"/>
  <c r="I346" i="1"/>
  <c r="G346" i="1"/>
  <c r="B346" i="1"/>
  <c r="K345" i="1"/>
  <c r="I345" i="1"/>
  <c r="G345" i="1"/>
  <c r="B345" i="1"/>
  <c r="K344" i="1"/>
  <c r="I344" i="1"/>
  <c r="G344" i="1"/>
  <c r="B344" i="1"/>
  <c r="K343" i="1"/>
  <c r="I343" i="1"/>
  <c r="G343" i="1"/>
  <c r="B343" i="1"/>
  <c r="K342" i="1"/>
  <c r="I342" i="1"/>
  <c r="G342" i="1"/>
  <c r="B342" i="1"/>
  <c r="K341" i="1"/>
  <c r="I341" i="1"/>
  <c r="G341" i="1"/>
  <c r="B341" i="1"/>
  <c r="K340" i="1"/>
  <c r="I340" i="1"/>
  <c r="G340" i="1"/>
  <c r="B340" i="1"/>
  <c r="K339" i="1"/>
  <c r="I339" i="1"/>
  <c r="G339" i="1"/>
  <c r="B339" i="1"/>
  <c r="K338" i="1"/>
  <c r="I338" i="1"/>
  <c r="G338" i="1"/>
  <c r="B338" i="1"/>
  <c r="K337" i="1"/>
  <c r="I337" i="1"/>
  <c r="G337" i="1"/>
  <c r="B337" i="1"/>
  <c r="K336" i="1"/>
  <c r="I336" i="1"/>
  <c r="G336" i="1"/>
  <c r="B336" i="1"/>
  <c r="K335" i="1"/>
  <c r="I335" i="1"/>
  <c r="G335" i="1"/>
  <c r="B335" i="1"/>
  <c r="K334" i="1"/>
  <c r="I334" i="1"/>
  <c r="G334" i="1"/>
  <c r="B334" i="1"/>
  <c r="K333" i="1"/>
  <c r="I333" i="1"/>
  <c r="G333" i="1"/>
  <c r="B333" i="1"/>
  <c r="B332" i="1"/>
  <c r="K331" i="1"/>
  <c r="I331" i="1"/>
  <c r="G331" i="1"/>
  <c r="B331" i="1"/>
  <c r="K330" i="1"/>
  <c r="I330" i="1"/>
  <c r="G330" i="1"/>
  <c r="B330" i="1"/>
  <c r="K329" i="1"/>
  <c r="I329" i="1"/>
  <c r="G329" i="1"/>
  <c r="B329" i="1"/>
  <c r="K328" i="1"/>
  <c r="I328" i="1"/>
  <c r="G328" i="1"/>
  <c r="B328" i="1"/>
  <c r="K327" i="1"/>
  <c r="I327" i="1"/>
  <c r="G327" i="1"/>
  <c r="B327" i="1"/>
  <c r="K326" i="1"/>
  <c r="I326" i="1"/>
  <c r="G326" i="1"/>
  <c r="B326" i="1"/>
  <c r="K325" i="1"/>
  <c r="I325" i="1"/>
  <c r="G325" i="1"/>
  <c r="B325" i="1"/>
  <c r="K324" i="1"/>
  <c r="I324" i="1"/>
  <c r="G324" i="1"/>
  <c r="B324" i="1"/>
  <c r="K323" i="1"/>
  <c r="I323" i="1"/>
  <c r="G323" i="1"/>
  <c r="B323" i="1"/>
  <c r="K322" i="1"/>
  <c r="I322" i="1"/>
  <c r="G322" i="1"/>
  <c r="B322" i="1"/>
  <c r="K321" i="1"/>
  <c r="I321" i="1"/>
  <c r="G321" i="1"/>
  <c r="B321" i="1"/>
  <c r="K320" i="1"/>
  <c r="I320" i="1"/>
  <c r="G320" i="1"/>
  <c r="B320" i="1"/>
  <c r="K319" i="1"/>
  <c r="I319" i="1"/>
  <c r="G319" i="1"/>
  <c r="B319" i="1"/>
  <c r="K318" i="1"/>
  <c r="I318" i="1"/>
  <c r="G318" i="1"/>
  <c r="B318" i="1"/>
  <c r="B317" i="1"/>
  <c r="K316" i="1"/>
  <c r="I316" i="1"/>
  <c r="G316" i="1"/>
  <c r="B316" i="1"/>
  <c r="K315" i="1"/>
  <c r="I315" i="1"/>
  <c r="G315" i="1"/>
  <c r="B315" i="1"/>
  <c r="K314" i="1"/>
  <c r="I314" i="1"/>
  <c r="G314" i="1"/>
  <c r="B314" i="1"/>
  <c r="K313" i="1"/>
  <c r="I313" i="1"/>
  <c r="G313" i="1"/>
  <c r="B313" i="1"/>
  <c r="K312" i="1"/>
  <c r="I312" i="1"/>
  <c r="G312" i="1"/>
  <c r="B312" i="1"/>
  <c r="K311" i="1"/>
  <c r="I311" i="1"/>
  <c r="G311" i="1"/>
  <c r="B311" i="1"/>
  <c r="K310" i="1"/>
  <c r="I310" i="1"/>
  <c r="G310" i="1"/>
  <c r="B310" i="1"/>
  <c r="K309" i="1"/>
  <c r="I309" i="1"/>
  <c r="G309" i="1"/>
  <c r="B309" i="1"/>
  <c r="K308" i="1"/>
  <c r="I308" i="1"/>
  <c r="G308" i="1"/>
  <c r="B308" i="1"/>
  <c r="K307" i="1"/>
  <c r="I307" i="1"/>
  <c r="G307" i="1"/>
  <c r="B307" i="1"/>
  <c r="K306" i="1"/>
  <c r="I306" i="1"/>
  <c r="G306" i="1"/>
  <c r="B306" i="1"/>
  <c r="K305" i="1"/>
  <c r="I305" i="1"/>
  <c r="G305" i="1"/>
  <c r="B305" i="1"/>
  <c r="K304" i="1"/>
  <c r="I304" i="1"/>
  <c r="G304" i="1"/>
  <c r="B304" i="1"/>
  <c r="K303" i="1"/>
  <c r="I303" i="1"/>
  <c r="G303" i="1"/>
  <c r="B303" i="1"/>
  <c r="B302" i="1"/>
  <c r="K301" i="1"/>
  <c r="I301" i="1"/>
  <c r="G301" i="1"/>
  <c r="B301" i="1"/>
  <c r="K300" i="1"/>
  <c r="I300" i="1"/>
  <c r="G300" i="1"/>
  <c r="B300" i="1"/>
  <c r="K299" i="1"/>
  <c r="I299" i="1"/>
  <c r="G299" i="1"/>
  <c r="B299" i="1"/>
  <c r="K298" i="1"/>
  <c r="I298" i="1"/>
  <c r="G298" i="1"/>
  <c r="B298" i="1"/>
  <c r="K297" i="1"/>
  <c r="I297" i="1"/>
  <c r="G297" i="1"/>
  <c r="B297" i="1"/>
  <c r="K296" i="1"/>
  <c r="I296" i="1"/>
  <c r="G296" i="1"/>
  <c r="B296" i="1"/>
  <c r="K295" i="1"/>
  <c r="I295" i="1"/>
  <c r="G295" i="1"/>
  <c r="B295" i="1"/>
  <c r="K294" i="1"/>
  <c r="I294" i="1"/>
  <c r="G294" i="1"/>
  <c r="B294" i="1"/>
  <c r="K293" i="1"/>
  <c r="I293" i="1"/>
  <c r="G293" i="1"/>
  <c r="B293" i="1"/>
  <c r="K292" i="1"/>
  <c r="I292" i="1"/>
  <c r="G292" i="1"/>
  <c r="B292" i="1"/>
  <c r="K291" i="1"/>
  <c r="I291" i="1"/>
  <c r="G291" i="1"/>
  <c r="B291" i="1"/>
  <c r="K290" i="1"/>
  <c r="I290" i="1"/>
  <c r="G290" i="1"/>
  <c r="B290" i="1"/>
  <c r="K289" i="1"/>
  <c r="I289" i="1"/>
  <c r="G289" i="1"/>
  <c r="B289" i="1"/>
  <c r="K288" i="1"/>
  <c r="I288" i="1"/>
  <c r="G288" i="1"/>
  <c r="B288" i="1"/>
  <c r="K287" i="1"/>
  <c r="I287" i="1"/>
  <c r="G287" i="1"/>
  <c r="B287" i="1"/>
  <c r="K286" i="1"/>
  <c r="I286" i="1"/>
  <c r="G286" i="1"/>
  <c r="B286" i="1"/>
  <c r="K285" i="1"/>
  <c r="I285" i="1"/>
  <c r="G285" i="1"/>
  <c r="B285" i="1"/>
  <c r="K284" i="1"/>
  <c r="I284" i="1"/>
  <c r="G284" i="1"/>
  <c r="B284" i="1"/>
  <c r="K283" i="1"/>
  <c r="I283" i="1"/>
  <c r="G283" i="1"/>
  <c r="B283" i="1"/>
  <c r="K282" i="1"/>
  <c r="I282" i="1"/>
  <c r="G282" i="1"/>
  <c r="B282" i="1"/>
  <c r="K281" i="1"/>
  <c r="I281" i="1"/>
  <c r="G281" i="1"/>
  <c r="B281" i="1"/>
  <c r="K280" i="1"/>
  <c r="I280" i="1"/>
  <c r="G280" i="1"/>
  <c r="B280" i="1"/>
  <c r="K279" i="1"/>
  <c r="I279" i="1"/>
  <c r="G279" i="1"/>
  <c r="B279" i="1"/>
  <c r="K278" i="1"/>
  <c r="I278" i="1"/>
  <c r="G278" i="1"/>
  <c r="B278" i="1"/>
  <c r="K277" i="1"/>
  <c r="I277" i="1"/>
  <c r="G277" i="1"/>
  <c r="B277" i="1"/>
  <c r="K276" i="1"/>
  <c r="I276" i="1"/>
  <c r="G276" i="1"/>
  <c r="B276" i="1"/>
  <c r="K275" i="1"/>
  <c r="I275" i="1"/>
  <c r="G275" i="1"/>
  <c r="B275" i="1"/>
  <c r="K274" i="1"/>
  <c r="I274" i="1"/>
  <c r="G274" i="1"/>
  <c r="B274" i="1"/>
  <c r="K273" i="1"/>
  <c r="I273" i="1"/>
  <c r="G273" i="1"/>
  <c r="B273" i="1"/>
  <c r="K272" i="1"/>
  <c r="I272" i="1"/>
  <c r="G272" i="1"/>
  <c r="B272" i="1"/>
  <c r="K271" i="1"/>
  <c r="I271" i="1"/>
  <c r="G271" i="1"/>
  <c r="B271" i="1"/>
  <c r="K270" i="1"/>
  <c r="I270" i="1"/>
  <c r="G270" i="1"/>
  <c r="B270" i="1"/>
  <c r="K269" i="1"/>
  <c r="I269" i="1"/>
  <c r="G269" i="1"/>
  <c r="B269" i="1"/>
  <c r="K268" i="1"/>
  <c r="I268" i="1"/>
  <c r="G268" i="1"/>
  <c r="B268" i="1"/>
  <c r="K267" i="1"/>
  <c r="I267" i="1"/>
  <c r="G267" i="1"/>
  <c r="B267" i="1"/>
  <c r="K266" i="1"/>
  <c r="I266" i="1"/>
  <c r="G266" i="1"/>
  <c r="B266" i="1"/>
  <c r="K265" i="1"/>
  <c r="I265" i="1"/>
  <c r="G265" i="1"/>
  <c r="B265" i="1"/>
  <c r="K264" i="1"/>
  <c r="I264" i="1"/>
  <c r="G264" i="1"/>
  <c r="B264" i="1"/>
  <c r="K263" i="1"/>
  <c r="I263" i="1"/>
  <c r="G263" i="1"/>
  <c r="B263" i="1"/>
  <c r="K262" i="1"/>
  <c r="I262" i="1"/>
  <c r="G262" i="1"/>
  <c r="B262" i="1"/>
  <c r="K261" i="1"/>
  <c r="I261" i="1"/>
  <c r="G261" i="1"/>
  <c r="B261" i="1"/>
  <c r="K260" i="1"/>
  <c r="I260" i="1"/>
  <c r="G260" i="1"/>
  <c r="B260" i="1"/>
  <c r="K259" i="1"/>
  <c r="I259" i="1"/>
  <c r="G259" i="1"/>
  <c r="B259" i="1"/>
  <c r="K258" i="1"/>
  <c r="I258" i="1"/>
  <c r="G258" i="1"/>
  <c r="B258" i="1"/>
  <c r="K257" i="1"/>
  <c r="I257" i="1"/>
  <c r="G257" i="1"/>
  <c r="B257" i="1"/>
  <c r="Q257" i="1" s="1"/>
  <c r="K256" i="1"/>
  <c r="I256" i="1"/>
  <c r="G256" i="1"/>
  <c r="B256" i="1"/>
  <c r="K255" i="1"/>
  <c r="I255" i="1"/>
  <c r="G255" i="1"/>
  <c r="B255" i="1"/>
  <c r="K254" i="1"/>
  <c r="I254" i="1"/>
  <c r="G254" i="1"/>
  <c r="B254" i="1"/>
  <c r="Q254" i="1" s="1"/>
  <c r="K253" i="1"/>
  <c r="I253" i="1"/>
  <c r="G253" i="1"/>
  <c r="B253" i="1"/>
  <c r="K252" i="1"/>
  <c r="I252" i="1"/>
  <c r="G252" i="1"/>
  <c r="B252" i="1"/>
  <c r="K251" i="1"/>
  <c r="I251" i="1"/>
  <c r="G251" i="1"/>
  <c r="B251" i="1"/>
  <c r="K250" i="1"/>
  <c r="I250" i="1"/>
  <c r="G250" i="1"/>
  <c r="B250" i="1"/>
  <c r="K249" i="1"/>
  <c r="I249" i="1"/>
  <c r="G249" i="1"/>
  <c r="B249" i="1"/>
  <c r="K248" i="1"/>
  <c r="I248" i="1"/>
  <c r="G248" i="1"/>
  <c r="B248" i="1"/>
  <c r="K247" i="1"/>
  <c r="I247" i="1"/>
  <c r="G247" i="1"/>
  <c r="B247" i="1"/>
  <c r="K246" i="1"/>
  <c r="I246" i="1"/>
  <c r="G246" i="1"/>
  <c r="B246" i="1"/>
  <c r="K245" i="1"/>
  <c r="I245" i="1"/>
  <c r="G245" i="1"/>
  <c r="B245" i="1"/>
  <c r="K244" i="1"/>
  <c r="I244" i="1"/>
  <c r="G244" i="1"/>
  <c r="B244" i="1"/>
  <c r="K243" i="1"/>
  <c r="I243" i="1"/>
  <c r="G243" i="1"/>
  <c r="B243" i="1"/>
  <c r="K242" i="1"/>
  <c r="I242" i="1"/>
  <c r="G242" i="1"/>
  <c r="B242" i="1"/>
  <c r="K241" i="1"/>
  <c r="I241" i="1"/>
  <c r="G241" i="1"/>
  <c r="B241" i="1"/>
  <c r="K240" i="1"/>
  <c r="I240" i="1"/>
  <c r="G240" i="1"/>
  <c r="B240" i="1"/>
  <c r="K239" i="1"/>
  <c r="I239" i="1"/>
  <c r="G239" i="1"/>
  <c r="B239" i="1"/>
  <c r="K238" i="1"/>
  <c r="I238" i="1"/>
  <c r="G238" i="1"/>
  <c r="B238" i="1"/>
  <c r="K237" i="1"/>
  <c r="I237" i="1"/>
  <c r="G237" i="1"/>
  <c r="B237" i="1"/>
  <c r="K236" i="1"/>
  <c r="I236" i="1"/>
  <c r="G236" i="1"/>
  <c r="B236" i="1"/>
  <c r="K235" i="1"/>
  <c r="I235" i="1"/>
  <c r="G235" i="1"/>
  <c r="B235" i="1"/>
  <c r="K234" i="1"/>
  <c r="I234" i="1"/>
  <c r="G234" i="1"/>
  <c r="B234" i="1"/>
  <c r="K233" i="1"/>
  <c r="I233" i="1"/>
  <c r="G233" i="1"/>
  <c r="B233" i="1"/>
  <c r="K232" i="1"/>
  <c r="I232" i="1"/>
  <c r="G232" i="1"/>
  <c r="B232" i="1"/>
  <c r="K231" i="1"/>
  <c r="I231" i="1"/>
  <c r="G231" i="1"/>
  <c r="B231" i="1"/>
  <c r="K230" i="1"/>
  <c r="I230" i="1"/>
  <c r="G230" i="1"/>
  <c r="B230" i="1"/>
  <c r="K229" i="1"/>
  <c r="I229" i="1"/>
  <c r="G229" i="1"/>
  <c r="B229" i="1"/>
  <c r="K228" i="1"/>
  <c r="I228" i="1"/>
  <c r="G228" i="1"/>
  <c r="B228" i="1"/>
  <c r="K227" i="1"/>
  <c r="I227" i="1"/>
  <c r="G227" i="1"/>
  <c r="B227" i="1"/>
  <c r="K226" i="1"/>
  <c r="I226" i="1"/>
  <c r="G226" i="1"/>
  <c r="B226" i="1"/>
  <c r="K225" i="1"/>
  <c r="I225" i="1"/>
  <c r="G225" i="1"/>
  <c r="B225" i="1"/>
  <c r="K224" i="1"/>
  <c r="I224" i="1"/>
  <c r="G224" i="1"/>
  <c r="B224" i="1"/>
  <c r="K223" i="1"/>
  <c r="I223" i="1"/>
  <c r="G223" i="1"/>
  <c r="B223" i="1"/>
  <c r="K222" i="1"/>
  <c r="I222" i="1"/>
  <c r="G222" i="1"/>
  <c r="B222" i="1"/>
  <c r="K221" i="1"/>
  <c r="I221" i="1"/>
  <c r="G221" i="1"/>
  <c r="B221" i="1"/>
  <c r="K220" i="1"/>
  <c r="I220" i="1"/>
  <c r="G220" i="1"/>
  <c r="B220" i="1"/>
  <c r="K219" i="1"/>
  <c r="I219" i="1"/>
  <c r="G219" i="1"/>
  <c r="B219" i="1"/>
  <c r="K218" i="1"/>
  <c r="I218" i="1"/>
  <c r="G218" i="1"/>
  <c r="B218" i="1"/>
  <c r="K217" i="1"/>
  <c r="I217" i="1"/>
  <c r="G217" i="1"/>
  <c r="B217" i="1"/>
  <c r="K216" i="1"/>
  <c r="I216" i="1"/>
  <c r="G216" i="1"/>
  <c r="B216" i="1"/>
  <c r="K215" i="1"/>
  <c r="I215" i="1"/>
  <c r="G215" i="1"/>
  <c r="B215" i="1"/>
  <c r="K214" i="1"/>
  <c r="I214" i="1"/>
  <c r="G214" i="1"/>
  <c r="B214" i="1"/>
  <c r="K213" i="1"/>
  <c r="I213" i="1"/>
  <c r="G213" i="1"/>
  <c r="B213" i="1"/>
  <c r="K212" i="1"/>
  <c r="I212" i="1"/>
  <c r="G212" i="1"/>
  <c r="B212" i="1"/>
  <c r="B211" i="1"/>
  <c r="K210" i="1"/>
  <c r="I210" i="1"/>
  <c r="G210" i="1"/>
  <c r="B210" i="1"/>
  <c r="K209" i="1"/>
  <c r="I209" i="1"/>
  <c r="G209" i="1"/>
  <c r="B209" i="1"/>
  <c r="K208" i="1"/>
  <c r="I208" i="1"/>
  <c r="G208" i="1"/>
  <c r="B208" i="1"/>
  <c r="K207" i="1"/>
  <c r="I207" i="1"/>
  <c r="G207" i="1"/>
  <c r="B207" i="1"/>
  <c r="K206" i="1"/>
  <c r="I206" i="1"/>
  <c r="G206" i="1"/>
  <c r="B206" i="1"/>
  <c r="K205" i="1"/>
  <c r="I205" i="1"/>
  <c r="G205" i="1"/>
  <c r="B205" i="1"/>
  <c r="K204" i="1"/>
  <c r="I204" i="1"/>
  <c r="G204" i="1"/>
  <c r="B204" i="1"/>
  <c r="K203" i="1"/>
  <c r="I203" i="1"/>
  <c r="G203" i="1"/>
  <c r="B203" i="1"/>
  <c r="K202" i="1"/>
  <c r="I202" i="1"/>
  <c r="G202" i="1"/>
  <c r="B202" i="1"/>
  <c r="K201" i="1"/>
  <c r="I201" i="1"/>
  <c r="G201" i="1"/>
  <c r="B201" i="1"/>
  <c r="K200" i="1"/>
  <c r="I200" i="1"/>
  <c r="G200" i="1"/>
  <c r="B200" i="1"/>
  <c r="K199" i="1"/>
  <c r="I199" i="1"/>
  <c r="G199" i="1"/>
  <c r="B199" i="1"/>
  <c r="K198" i="1"/>
  <c r="I198" i="1"/>
  <c r="G198" i="1"/>
  <c r="B198" i="1"/>
  <c r="K197" i="1"/>
  <c r="I197" i="1"/>
  <c r="G197" i="1"/>
  <c r="B197" i="1"/>
  <c r="K196" i="1"/>
  <c r="I196" i="1"/>
  <c r="G196" i="1"/>
  <c r="B196" i="1"/>
  <c r="K195" i="1"/>
  <c r="I195" i="1"/>
  <c r="G195" i="1"/>
  <c r="B195" i="1"/>
  <c r="K194" i="1"/>
  <c r="I194" i="1"/>
  <c r="G194" i="1"/>
  <c r="B194" i="1"/>
  <c r="K193" i="1"/>
  <c r="I193" i="1"/>
  <c r="G193" i="1"/>
  <c r="B193" i="1"/>
  <c r="K192" i="1"/>
  <c r="I192" i="1"/>
  <c r="G192" i="1"/>
  <c r="B192" i="1"/>
  <c r="K191" i="1"/>
  <c r="I191" i="1"/>
  <c r="G191" i="1"/>
  <c r="B191" i="1"/>
  <c r="K190" i="1"/>
  <c r="I190" i="1"/>
  <c r="G190" i="1"/>
  <c r="B190" i="1"/>
  <c r="K189" i="1"/>
  <c r="I189" i="1"/>
  <c r="G189" i="1"/>
  <c r="B189" i="1"/>
  <c r="K188" i="1"/>
  <c r="I188" i="1"/>
  <c r="G188" i="1"/>
  <c r="B188" i="1"/>
  <c r="K187" i="1"/>
  <c r="I187" i="1"/>
  <c r="G187" i="1"/>
  <c r="B187" i="1"/>
  <c r="K186" i="1"/>
  <c r="I186" i="1"/>
  <c r="G186" i="1"/>
  <c r="B186" i="1"/>
  <c r="K185" i="1"/>
  <c r="I185" i="1"/>
  <c r="G185" i="1"/>
  <c r="B185" i="1"/>
  <c r="K184" i="1"/>
  <c r="I184" i="1"/>
  <c r="G184" i="1"/>
  <c r="B184" i="1"/>
  <c r="K183" i="1"/>
  <c r="I183" i="1"/>
  <c r="G183" i="1"/>
  <c r="B183" i="1"/>
  <c r="K182" i="1"/>
  <c r="I182" i="1"/>
  <c r="G182" i="1"/>
  <c r="B182" i="1"/>
  <c r="K181" i="1"/>
  <c r="I181" i="1"/>
  <c r="G181" i="1"/>
  <c r="B181" i="1"/>
  <c r="K180" i="1"/>
  <c r="I180" i="1"/>
  <c r="G180" i="1"/>
  <c r="B180" i="1"/>
  <c r="K179" i="1"/>
  <c r="I179" i="1"/>
  <c r="G179" i="1"/>
  <c r="B179" i="1"/>
  <c r="K178" i="1"/>
  <c r="I178" i="1"/>
  <c r="G178" i="1"/>
  <c r="B178" i="1"/>
  <c r="K177" i="1"/>
  <c r="I177" i="1"/>
  <c r="G177" i="1"/>
  <c r="B177" i="1"/>
  <c r="K176" i="1"/>
  <c r="I176" i="1"/>
  <c r="G176" i="1"/>
  <c r="B176" i="1"/>
  <c r="K175" i="1"/>
  <c r="I175" i="1"/>
  <c r="G175" i="1"/>
  <c r="B175" i="1"/>
  <c r="K174" i="1"/>
  <c r="I174" i="1"/>
  <c r="G174" i="1"/>
  <c r="B174" i="1"/>
  <c r="K173" i="1"/>
  <c r="I173" i="1"/>
  <c r="G173" i="1"/>
  <c r="B173" i="1"/>
  <c r="K172" i="1"/>
  <c r="I172" i="1"/>
  <c r="G172" i="1"/>
  <c r="B172" i="1"/>
  <c r="K171" i="1"/>
  <c r="I171" i="1"/>
  <c r="G171" i="1"/>
  <c r="B171" i="1"/>
  <c r="K170" i="1"/>
  <c r="I170" i="1"/>
  <c r="G170" i="1"/>
  <c r="B170" i="1"/>
  <c r="K169" i="1"/>
  <c r="I169" i="1"/>
  <c r="G169" i="1"/>
  <c r="B169" i="1"/>
  <c r="K168" i="1"/>
  <c r="I168" i="1"/>
  <c r="G168" i="1"/>
  <c r="B168" i="1"/>
  <c r="K167" i="1"/>
  <c r="I167" i="1"/>
  <c r="G167" i="1"/>
  <c r="B167" i="1"/>
  <c r="K166" i="1"/>
  <c r="I166" i="1"/>
  <c r="G166" i="1"/>
  <c r="B166" i="1"/>
  <c r="B165" i="1"/>
  <c r="K164" i="1"/>
  <c r="I164" i="1"/>
  <c r="G164" i="1"/>
  <c r="B164" i="1"/>
  <c r="K163" i="1"/>
  <c r="I163" i="1"/>
  <c r="G163" i="1"/>
  <c r="B163" i="1"/>
  <c r="K162" i="1"/>
  <c r="I162" i="1"/>
  <c r="G162" i="1"/>
  <c r="B162" i="1"/>
  <c r="K161" i="1"/>
  <c r="I161" i="1"/>
  <c r="G161" i="1"/>
  <c r="B161" i="1"/>
  <c r="K160" i="1"/>
  <c r="I160" i="1"/>
  <c r="G160" i="1"/>
  <c r="B160" i="1"/>
  <c r="K159" i="1"/>
  <c r="I159" i="1"/>
  <c r="G159" i="1"/>
  <c r="B159" i="1"/>
  <c r="K158" i="1"/>
  <c r="I158" i="1"/>
  <c r="G158" i="1"/>
  <c r="B158" i="1"/>
  <c r="K157" i="1"/>
  <c r="I157" i="1"/>
  <c r="G157" i="1"/>
  <c r="B157" i="1"/>
  <c r="K156" i="1"/>
  <c r="I156" i="1"/>
  <c r="G156" i="1"/>
  <c r="B156" i="1"/>
  <c r="K155" i="1"/>
  <c r="I155" i="1"/>
  <c r="G155" i="1"/>
  <c r="B155" i="1"/>
  <c r="K154" i="1"/>
  <c r="I154" i="1"/>
  <c r="G154" i="1"/>
  <c r="B154" i="1"/>
  <c r="K153" i="1"/>
  <c r="I153" i="1"/>
  <c r="G153" i="1"/>
  <c r="B153" i="1"/>
  <c r="K152" i="1"/>
  <c r="I152" i="1"/>
  <c r="G152" i="1"/>
  <c r="B152" i="1"/>
  <c r="K151" i="1"/>
  <c r="I151" i="1"/>
  <c r="G151" i="1"/>
  <c r="B151" i="1"/>
  <c r="K150" i="1"/>
  <c r="I150" i="1"/>
  <c r="G150" i="1"/>
  <c r="B150" i="1"/>
  <c r="K149" i="1"/>
  <c r="I149" i="1"/>
  <c r="G149" i="1"/>
  <c r="B149" i="1"/>
  <c r="K148" i="1"/>
  <c r="I148" i="1"/>
  <c r="G148" i="1"/>
  <c r="B148" i="1"/>
  <c r="K147" i="1"/>
  <c r="I147" i="1"/>
  <c r="G147" i="1"/>
  <c r="B147" i="1"/>
  <c r="K146" i="1"/>
  <c r="I146" i="1"/>
  <c r="G146" i="1"/>
  <c r="B146" i="1"/>
  <c r="K145" i="1"/>
  <c r="I145" i="1"/>
  <c r="G145" i="1"/>
  <c r="B145" i="1"/>
  <c r="K144" i="1"/>
  <c r="I144" i="1"/>
  <c r="G144" i="1"/>
  <c r="B144" i="1"/>
  <c r="K143" i="1"/>
  <c r="I143" i="1"/>
  <c r="G143" i="1"/>
  <c r="B143" i="1"/>
  <c r="K142" i="1"/>
  <c r="I142" i="1"/>
  <c r="G142" i="1"/>
  <c r="B142" i="1"/>
  <c r="K141" i="1"/>
  <c r="I141" i="1"/>
  <c r="G141" i="1"/>
  <c r="B141" i="1"/>
  <c r="K140" i="1"/>
  <c r="I140" i="1"/>
  <c r="G140" i="1"/>
  <c r="B140" i="1"/>
  <c r="K139" i="1"/>
  <c r="I139" i="1"/>
  <c r="G139" i="1"/>
  <c r="B139" i="1"/>
  <c r="K138" i="1"/>
  <c r="I138" i="1"/>
  <c r="G138" i="1"/>
  <c r="B138" i="1"/>
  <c r="K137" i="1"/>
  <c r="I137" i="1"/>
  <c r="G137" i="1"/>
  <c r="B137" i="1"/>
  <c r="K136" i="1"/>
  <c r="I136" i="1"/>
  <c r="G136" i="1"/>
  <c r="B136" i="1"/>
  <c r="K135" i="1"/>
  <c r="I135" i="1"/>
  <c r="G135" i="1"/>
  <c r="B135" i="1"/>
  <c r="K134" i="1"/>
  <c r="I134" i="1"/>
  <c r="G134" i="1"/>
  <c r="B134" i="1"/>
  <c r="K133" i="1"/>
  <c r="I133" i="1"/>
  <c r="G133" i="1"/>
  <c r="B133" i="1"/>
  <c r="K132" i="1"/>
  <c r="I132" i="1"/>
  <c r="G132" i="1"/>
  <c r="B132" i="1"/>
  <c r="K131" i="1"/>
  <c r="I131" i="1"/>
  <c r="G131" i="1"/>
  <c r="B131" i="1"/>
  <c r="K130" i="1"/>
  <c r="I130" i="1"/>
  <c r="G130" i="1"/>
  <c r="B130" i="1"/>
  <c r="K129" i="1"/>
  <c r="I129" i="1"/>
  <c r="G129" i="1"/>
  <c r="B129" i="1"/>
  <c r="K128" i="1"/>
  <c r="I128" i="1"/>
  <c r="G128" i="1"/>
  <c r="B128" i="1"/>
  <c r="K127" i="1"/>
  <c r="I127" i="1"/>
  <c r="G127" i="1"/>
  <c r="B127" i="1"/>
  <c r="K126" i="1"/>
  <c r="I126" i="1"/>
  <c r="G126" i="1"/>
  <c r="B126" i="1"/>
  <c r="K125" i="1"/>
  <c r="I125" i="1"/>
  <c r="G125" i="1"/>
  <c r="B125" i="1"/>
  <c r="K124" i="1"/>
  <c r="I124" i="1"/>
  <c r="G124" i="1"/>
  <c r="B124" i="1"/>
  <c r="K123" i="1"/>
  <c r="I123" i="1"/>
  <c r="G123" i="1"/>
  <c r="B123" i="1"/>
  <c r="K122" i="1"/>
  <c r="I122" i="1"/>
  <c r="G122" i="1"/>
  <c r="B122" i="1"/>
  <c r="K121" i="1"/>
  <c r="I121" i="1"/>
  <c r="G121" i="1"/>
  <c r="B121" i="1"/>
  <c r="K120" i="1"/>
  <c r="I120" i="1"/>
  <c r="G120" i="1"/>
  <c r="B120" i="1"/>
  <c r="K119" i="1"/>
  <c r="I119" i="1"/>
  <c r="G119" i="1"/>
  <c r="B119" i="1"/>
  <c r="K118" i="1"/>
  <c r="I118" i="1"/>
  <c r="G118" i="1"/>
  <c r="B118" i="1"/>
  <c r="K117" i="1"/>
  <c r="I117" i="1"/>
  <c r="G117" i="1"/>
  <c r="B117" i="1"/>
  <c r="K116" i="1"/>
  <c r="I116" i="1"/>
  <c r="G116" i="1"/>
  <c r="B116" i="1"/>
  <c r="K115" i="1"/>
  <c r="I115" i="1"/>
  <c r="G115" i="1"/>
  <c r="B115" i="1"/>
  <c r="K114" i="1"/>
  <c r="I114" i="1"/>
  <c r="G114" i="1"/>
  <c r="B114" i="1"/>
  <c r="K113" i="1"/>
  <c r="I113" i="1"/>
  <c r="G113" i="1"/>
  <c r="B113" i="1"/>
  <c r="K112" i="1"/>
  <c r="I112" i="1"/>
  <c r="G112" i="1"/>
  <c r="B112" i="1"/>
  <c r="K111" i="1"/>
  <c r="I111" i="1"/>
  <c r="G111" i="1"/>
  <c r="B111" i="1"/>
  <c r="K110" i="1"/>
  <c r="I110" i="1"/>
  <c r="G110" i="1"/>
  <c r="B110" i="1"/>
  <c r="K109" i="1"/>
  <c r="I109" i="1"/>
  <c r="G109" i="1"/>
  <c r="B109" i="1"/>
  <c r="K108" i="1"/>
  <c r="I108" i="1"/>
  <c r="G108" i="1"/>
  <c r="B108" i="1"/>
  <c r="K107" i="1"/>
  <c r="I107" i="1"/>
  <c r="G107" i="1"/>
  <c r="B107" i="1"/>
  <c r="K106" i="1"/>
  <c r="I106" i="1"/>
  <c r="G106" i="1"/>
  <c r="B106" i="1"/>
  <c r="K105" i="1"/>
  <c r="I105" i="1"/>
  <c r="G105" i="1"/>
  <c r="B105" i="1"/>
  <c r="K104" i="1"/>
  <c r="I104" i="1"/>
  <c r="G104" i="1"/>
  <c r="B104" i="1"/>
  <c r="K103" i="1"/>
  <c r="I103" i="1"/>
  <c r="G103" i="1"/>
  <c r="B103" i="1"/>
  <c r="K102" i="1"/>
  <c r="I102" i="1"/>
  <c r="G102" i="1"/>
  <c r="B102" i="1"/>
  <c r="K101" i="1"/>
  <c r="I101" i="1"/>
  <c r="G101" i="1"/>
  <c r="B101" i="1"/>
  <c r="K100" i="1"/>
  <c r="I100" i="1"/>
  <c r="G100" i="1"/>
  <c r="B100" i="1"/>
  <c r="K99" i="1"/>
  <c r="I99" i="1"/>
  <c r="G99" i="1"/>
  <c r="B99" i="1"/>
  <c r="K98" i="1"/>
  <c r="I98" i="1"/>
  <c r="G98" i="1"/>
  <c r="B98" i="1"/>
  <c r="K97" i="1"/>
  <c r="I97" i="1"/>
  <c r="G97" i="1"/>
  <c r="B97" i="1"/>
  <c r="K96" i="1"/>
  <c r="I96" i="1"/>
  <c r="G96" i="1"/>
  <c r="B96" i="1"/>
  <c r="K95" i="1"/>
  <c r="I95" i="1"/>
  <c r="G95" i="1"/>
  <c r="B95" i="1"/>
  <c r="K94" i="1"/>
  <c r="I94" i="1"/>
  <c r="G94" i="1"/>
  <c r="B94" i="1"/>
  <c r="K93" i="1"/>
  <c r="I93" i="1"/>
  <c r="G93" i="1"/>
  <c r="B93" i="1"/>
  <c r="K92" i="1"/>
  <c r="I92" i="1"/>
  <c r="G92" i="1"/>
  <c r="B92" i="1"/>
  <c r="K91" i="1"/>
  <c r="I91" i="1"/>
  <c r="G91" i="1"/>
  <c r="B91" i="1"/>
  <c r="K90" i="1"/>
  <c r="I90" i="1"/>
  <c r="G90" i="1"/>
  <c r="B90" i="1"/>
  <c r="K89" i="1"/>
  <c r="I89" i="1"/>
  <c r="G89" i="1"/>
  <c r="B89" i="1"/>
  <c r="K88" i="1"/>
  <c r="I88" i="1"/>
  <c r="G88" i="1"/>
  <c r="B88" i="1"/>
  <c r="K87" i="1"/>
  <c r="I87" i="1"/>
  <c r="G87" i="1"/>
  <c r="B87" i="1"/>
  <c r="K86" i="1"/>
  <c r="I86" i="1"/>
  <c r="G86" i="1"/>
  <c r="B86" i="1"/>
  <c r="K85" i="1"/>
  <c r="I85" i="1"/>
  <c r="G85" i="1"/>
  <c r="B85" i="1"/>
  <c r="K84" i="1"/>
  <c r="I84" i="1"/>
  <c r="G84" i="1"/>
  <c r="B84" i="1"/>
  <c r="K83" i="1"/>
  <c r="I83" i="1"/>
  <c r="G83" i="1"/>
  <c r="B83" i="1"/>
  <c r="K82" i="1"/>
  <c r="I82" i="1"/>
  <c r="G82" i="1"/>
  <c r="B82" i="1"/>
  <c r="K81" i="1"/>
  <c r="I81" i="1"/>
  <c r="G81" i="1"/>
  <c r="B81" i="1"/>
  <c r="K80" i="1"/>
  <c r="I80" i="1"/>
  <c r="G80" i="1"/>
  <c r="B80" i="1"/>
  <c r="K79" i="1"/>
  <c r="I79" i="1"/>
  <c r="G79" i="1"/>
  <c r="B79" i="1"/>
  <c r="K78" i="1"/>
  <c r="I78" i="1"/>
  <c r="G78" i="1"/>
  <c r="B78" i="1"/>
  <c r="K77" i="1"/>
  <c r="I77" i="1"/>
  <c r="G77" i="1"/>
  <c r="B77" i="1"/>
  <c r="K76" i="1"/>
  <c r="I76" i="1"/>
  <c r="G76" i="1"/>
  <c r="B76" i="1"/>
  <c r="K75" i="1"/>
  <c r="I75" i="1"/>
  <c r="G75" i="1"/>
  <c r="B75" i="1"/>
  <c r="K74" i="1"/>
  <c r="I74" i="1"/>
  <c r="G74" i="1"/>
  <c r="B74" i="1"/>
  <c r="K73" i="1"/>
  <c r="I73" i="1"/>
  <c r="G73" i="1"/>
  <c r="B73" i="1"/>
  <c r="K72" i="1"/>
  <c r="I72" i="1"/>
  <c r="G72" i="1"/>
  <c r="B72" i="1"/>
  <c r="K71" i="1"/>
  <c r="I71" i="1"/>
  <c r="G71" i="1"/>
  <c r="B71" i="1"/>
  <c r="K70" i="1"/>
  <c r="I70" i="1"/>
  <c r="G70" i="1"/>
  <c r="B70" i="1"/>
  <c r="K69" i="1"/>
  <c r="I69" i="1"/>
  <c r="G69" i="1"/>
  <c r="B69" i="1"/>
  <c r="K68" i="1"/>
  <c r="I68" i="1"/>
  <c r="G68" i="1"/>
  <c r="B68" i="1"/>
  <c r="K67" i="1"/>
  <c r="I67" i="1"/>
  <c r="G67" i="1"/>
  <c r="B67" i="1"/>
  <c r="K66" i="1"/>
  <c r="I66" i="1"/>
  <c r="G66" i="1"/>
  <c r="B66" i="1"/>
  <c r="K65" i="1"/>
  <c r="I65" i="1"/>
  <c r="G65" i="1"/>
  <c r="B65" i="1"/>
  <c r="K64" i="1"/>
  <c r="I64" i="1"/>
  <c r="G64" i="1"/>
  <c r="B64" i="1"/>
  <c r="K63" i="1"/>
  <c r="I63" i="1"/>
  <c r="G63" i="1"/>
  <c r="B63" i="1"/>
  <c r="K62" i="1"/>
  <c r="I62" i="1"/>
  <c r="G62" i="1"/>
  <c r="B62" i="1"/>
  <c r="K61" i="1"/>
  <c r="I61" i="1"/>
  <c r="G61" i="1"/>
  <c r="B61" i="1"/>
  <c r="K60" i="1"/>
  <c r="I60" i="1"/>
  <c r="G60" i="1"/>
  <c r="B60" i="1"/>
  <c r="K59" i="1"/>
  <c r="I59" i="1"/>
  <c r="G59" i="1"/>
  <c r="B59" i="1"/>
  <c r="B58" i="1"/>
  <c r="K57" i="1"/>
  <c r="I57" i="1"/>
  <c r="G57" i="1"/>
  <c r="B57" i="1"/>
  <c r="K56" i="1"/>
  <c r="I56" i="1"/>
  <c r="G56" i="1"/>
  <c r="B56" i="1"/>
  <c r="K55" i="1"/>
  <c r="I55" i="1"/>
  <c r="G55" i="1"/>
  <c r="B55" i="1"/>
  <c r="K54" i="1"/>
  <c r="I54" i="1"/>
  <c r="G54" i="1"/>
  <c r="B54" i="1"/>
  <c r="K53" i="1"/>
  <c r="I53" i="1"/>
  <c r="G53" i="1"/>
  <c r="B53" i="1"/>
  <c r="K52" i="1"/>
  <c r="I52" i="1"/>
  <c r="G52" i="1"/>
  <c r="B52" i="1"/>
  <c r="K51" i="1"/>
  <c r="I51" i="1"/>
  <c r="G51" i="1"/>
  <c r="B51" i="1"/>
  <c r="K50" i="1"/>
  <c r="I50" i="1"/>
  <c r="G50" i="1"/>
  <c r="B50" i="1"/>
  <c r="K49" i="1"/>
  <c r="I49" i="1"/>
  <c r="G49" i="1"/>
  <c r="B49" i="1"/>
  <c r="K48" i="1"/>
  <c r="I48" i="1"/>
  <c r="G48" i="1"/>
  <c r="B48" i="1"/>
  <c r="K47" i="1"/>
  <c r="I47" i="1"/>
  <c r="G47" i="1"/>
  <c r="B47" i="1"/>
  <c r="B46" i="1"/>
  <c r="K45" i="1"/>
  <c r="I45" i="1"/>
  <c r="G45" i="1"/>
  <c r="B45" i="1"/>
  <c r="K44" i="1"/>
  <c r="I44" i="1"/>
  <c r="G44" i="1"/>
  <c r="B44" i="1"/>
  <c r="K43" i="1"/>
  <c r="I43" i="1"/>
  <c r="G43" i="1"/>
  <c r="B43" i="1"/>
  <c r="K42" i="1"/>
  <c r="I42" i="1"/>
  <c r="G42" i="1"/>
  <c r="B42" i="1"/>
  <c r="K41" i="1"/>
  <c r="I41" i="1"/>
  <c r="G41" i="1"/>
  <c r="B41" i="1"/>
  <c r="K40" i="1"/>
  <c r="I40" i="1"/>
  <c r="G40" i="1"/>
  <c r="B40" i="1"/>
  <c r="K39" i="1"/>
  <c r="I39" i="1"/>
  <c r="G39" i="1"/>
  <c r="B39" i="1"/>
  <c r="K38" i="1"/>
  <c r="I38" i="1"/>
  <c r="G38" i="1"/>
  <c r="B38" i="1"/>
  <c r="Z37" i="1"/>
  <c r="K37" i="1"/>
  <c r="I37" i="1"/>
  <c r="G37" i="1"/>
  <c r="B37" i="1"/>
  <c r="Z36" i="1"/>
  <c r="K36" i="1"/>
  <c r="I36" i="1"/>
  <c r="G36" i="1"/>
  <c r="B36" i="1"/>
  <c r="K35" i="1"/>
  <c r="I35" i="1"/>
  <c r="G35" i="1"/>
  <c r="B35" i="1"/>
  <c r="K34" i="1"/>
  <c r="I34" i="1"/>
  <c r="G34" i="1"/>
  <c r="B34" i="1"/>
  <c r="K33" i="1"/>
  <c r="I33" i="1"/>
  <c r="G33" i="1"/>
  <c r="B33" i="1"/>
  <c r="Z32" i="1"/>
  <c r="K32" i="1"/>
  <c r="I32" i="1"/>
  <c r="G32" i="1"/>
  <c r="B32" i="1"/>
  <c r="K31" i="1"/>
  <c r="I31" i="1"/>
  <c r="G31" i="1"/>
  <c r="B31" i="1"/>
  <c r="K30" i="1"/>
  <c r="I30" i="1"/>
  <c r="G30" i="1"/>
  <c r="B30" i="1"/>
  <c r="K29" i="1"/>
  <c r="I29" i="1"/>
  <c r="G29" i="1"/>
  <c r="B29" i="1"/>
  <c r="K28" i="1"/>
  <c r="I28" i="1"/>
  <c r="G28" i="1"/>
  <c r="B28" i="1"/>
  <c r="K27" i="1"/>
  <c r="I27" i="1"/>
  <c r="G27" i="1"/>
  <c r="B27" i="1"/>
  <c r="K26" i="1"/>
  <c r="I26" i="1"/>
  <c r="G26" i="1"/>
  <c r="B26" i="1"/>
  <c r="Z25" i="1"/>
  <c r="K25" i="1"/>
  <c r="I25" i="1"/>
  <c r="G25" i="1"/>
  <c r="B25" i="1"/>
  <c r="Z24" i="1"/>
  <c r="K24" i="1"/>
  <c r="I24" i="1"/>
  <c r="G24" i="1"/>
  <c r="B24" i="1"/>
  <c r="Z23" i="1"/>
  <c r="K23" i="1"/>
  <c r="I23" i="1"/>
  <c r="G23" i="1"/>
  <c r="B23" i="1"/>
  <c r="Z22" i="1"/>
  <c r="K22" i="1"/>
  <c r="I22" i="1"/>
  <c r="G22" i="1"/>
  <c r="B22" i="1"/>
  <c r="K21" i="1"/>
  <c r="I21" i="1"/>
  <c r="G21" i="1"/>
  <c r="B21" i="1"/>
  <c r="K20" i="1"/>
  <c r="I20" i="1"/>
  <c r="G20" i="1"/>
  <c r="B20" i="1"/>
  <c r="Z19" i="1"/>
  <c r="K19" i="1"/>
  <c r="I19" i="1"/>
  <c r="G19" i="1"/>
  <c r="B19" i="1"/>
  <c r="K18" i="1"/>
  <c r="I18" i="1"/>
  <c r="G18" i="1"/>
  <c r="B18" i="1"/>
  <c r="Z17" i="1"/>
  <c r="K17" i="1"/>
  <c r="I17" i="1"/>
  <c r="G17" i="1"/>
  <c r="B17" i="1"/>
  <c r="Z16" i="1"/>
  <c r="K16" i="1"/>
  <c r="I16" i="1"/>
  <c r="G16" i="1"/>
  <c r="B16" i="1"/>
  <c r="K15" i="1"/>
  <c r="I15" i="1"/>
  <c r="G15" i="1"/>
  <c r="B15" i="1"/>
  <c r="K14" i="1"/>
  <c r="I14" i="1"/>
  <c r="G14" i="1"/>
  <c r="B14" i="1"/>
  <c r="K13" i="1"/>
  <c r="I13" i="1"/>
  <c r="G13" i="1"/>
  <c r="B13" i="1"/>
  <c r="K12" i="1"/>
  <c r="I12" i="1"/>
  <c r="G12" i="1"/>
  <c r="B12" i="1"/>
  <c r="K11" i="1"/>
  <c r="I11" i="1"/>
  <c r="G11" i="1"/>
  <c r="B11" i="1"/>
  <c r="K10" i="1"/>
  <c r="I10" i="1"/>
  <c r="G10" i="1"/>
  <c r="B10" i="1"/>
  <c r="K9" i="1"/>
  <c r="I9" i="1"/>
  <c r="G9" i="1"/>
  <c r="B9" i="1"/>
  <c r="K8" i="1"/>
  <c r="I8" i="1"/>
  <c r="G8" i="1"/>
  <c r="B8" i="1"/>
  <c r="K7" i="1"/>
  <c r="I7" i="1"/>
  <c r="G7" i="1"/>
  <c r="B7" i="1"/>
  <c r="K6" i="1"/>
  <c r="I6" i="1"/>
  <c r="G6" i="1"/>
  <c r="B6" i="1"/>
  <c r="Z3" i="1"/>
  <c r="V12" i="1" s="1"/>
  <c r="Z12" i="1" s="1"/>
  <c r="Z2" i="1"/>
  <c r="Z1" i="1"/>
  <c r="Q266" i="1" l="1"/>
  <c r="Q349" i="1"/>
  <c r="Q293" i="1"/>
  <c r="Q389" i="1"/>
  <c r="Q38" i="1"/>
  <c r="Q22" i="1"/>
  <c r="Q27" i="1"/>
  <c r="Q340" i="1"/>
  <c r="Q278" i="1"/>
  <c r="Q281" i="1"/>
  <c r="Q284" i="1"/>
  <c r="Q65" i="1"/>
  <c r="Q98" i="1"/>
  <c r="Q101" i="1"/>
  <c r="Q122" i="1"/>
  <c r="Q128" i="1"/>
  <c r="Q131" i="1"/>
  <c r="Q134" i="1"/>
  <c r="Q137" i="1"/>
  <c r="Q323" i="1"/>
  <c r="Q326" i="1"/>
  <c r="Q380" i="1"/>
  <c r="Q11" i="1"/>
  <c r="Q274" i="1"/>
  <c r="Q171" i="1"/>
  <c r="Q177" i="1"/>
  <c r="Q186" i="1"/>
  <c r="Q189" i="1"/>
  <c r="Q198" i="1"/>
  <c r="Q201" i="1"/>
  <c r="Q204" i="1"/>
  <c r="Q306" i="1"/>
  <c r="Q338" i="1"/>
  <c r="Q341" i="1"/>
  <c r="Q344" i="1"/>
  <c r="Q352" i="1"/>
  <c r="Q372" i="1"/>
  <c r="Q397" i="1"/>
  <c r="Q276" i="1"/>
  <c r="Q297" i="1"/>
  <c r="Q350" i="1"/>
  <c r="Q353" i="1"/>
  <c r="Q32" i="1"/>
  <c r="Q120" i="1"/>
  <c r="Q31" i="1"/>
  <c r="Q33" i="1"/>
  <c r="Q310" i="1"/>
  <c r="Q313" i="1"/>
  <c r="Q316" i="1"/>
  <c r="Q18" i="1"/>
  <c r="Q43" i="1"/>
  <c r="Q214" i="1"/>
  <c r="Q217" i="1"/>
  <c r="Q223" i="1"/>
  <c r="Q226" i="1"/>
  <c r="Q232" i="1"/>
  <c r="Q235" i="1"/>
  <c r="Q238" i="1"/>
  <c r="Q244" i="1"/>
  <c r="Q247" i="1"/>
  <c r="Q253" i="1"/>
  <c r="Q26" i="1"/>
  <c r="Q388" i="1"/>
  <c r="Q292" i="1"/>
  <c r="Q333" i="1"/>
  <c r="Q342" i="1"/>
  <c r="Q16" i="1"/>
  <c r="Q47" i="1"/>
  <c r="Q147" i="1"/>
  <c r="Q150" i="1"/>
  <c r="Q153" i="1"/>
  <c r="Q156" i="1"/>
  <c r="Q162" i="1"/>
  <c r="Q289" i="1"/>
  <c r="Q298" i="1"/>
  <c r="Q357" i="1"/>
  <c r="Q366" i="1"/>
  <c r="Q329" i="1"/>
  <c r="Q373" i="1"/>
  <c r="Q13" i="1"/>
  <c r="Q166" i="1"/>
  <c r="Q172" i="1"/>
  <c r="Q175" i="1"/>
  <c r="Q190" i="1"/>
  <c r="Q193" i="1"/>
  <c r="Q196" i="1"/>
  <c r="Q202" i="1"/>
  <c r="Q9" i="1"/>
  <c r="Q15" i="1"/>
  <c r="Q158" i="1"/>
  <c r="Q382" i="1"/>
  <c r="Q72" i="1"/>
  <c r="Q212" i="1"/>
  <c r="Q224" i="1"/>
  <c r="Q227" i="1"/>
  <c r="Q239" i="1"/>
  <c r="Q248" i="1"/>
  <c r="V8" i="1"/>
  <c r="Z8" i="1" s="1"/>
  <c r="AA8" i="1" s="1"/>
  <c r="Q94" i="1"/>
  <c r="Q97" i="1"/>
  <c r="Q109" i="1"/>
  <c r="Q145" i="1"/>
  <c r="Q334" i="1"/>
  <c r="Q374" i="1"/>
  <c r="Q377" i="1"/>
  <c r="Q54" i="1"/>
  <c r="Q64" i="1"/>
  <c r="Q88" i="1"/>
  <c r="Q160" i="1"/>
  <c r="Q203" i="1"/>
  <c r="Q206" i="1"/>
  <c r="Q209" i="1"/>
  <c r="Q361" i="1"/>
  <c r="Q365" i="1"/>
  <c r="Q395" i="1"/>
  <c r="Q102" i="1"/>
  <c r="Q42" i="1"/>
  <c r="Q45" i="1"/>
  <c r="Q67" i="1"/>
  <c r="Q85" i="1"/>
  <c r="Q197" i="1"/>
  <c r="Q213" i="1"/>
  <c r="Q219" i="1"/>
  <c r="Q222" i="1"/>
  <c r="Q231" i="1"/>
  <c r="Q234" i="1"/>
  <c r="Q237" i="1"/>
  <c r="Q240" i="1"/>
  <c r="Q249" i="1"/>
  <c r="Q252" i="1"/>
  <c r="Q309" i="1"/>
  <c r="V7" i="1"/>
  <c r="Z7" i="1" s="1"/>
  <c r="AA7" i="1" s="1"/>
  <c r="Q251" i="1"/>
  <c r="V20" i="1"/>
  <c r="Z20" i="1" s="1"/>
  <c r="AA20" i="1" s="1"/>
  <c r="V15" i="1"/>
  <c r="Z15" i="1" s="1"/>
  <c r="AA15" i="1" s="1"/>
  <c r="Q138" i="1"/>
  <c r="Q320" i="1"/>
  <c r="Q34" i="1"/>
  <c r="Q62" i="1"/>
  <c r="Q71" i="1"/>
  <c r="Q74" i="1"/>
  <c r="Q80" i="1"/>
  <c r="Q83" i="1"/>
  <c r="Q100" i="1"/>
  <c r="Q112" i="1"/>
  <c r="Q118" i="1"/>
  <c r="Q121" i="1"/>
  <c r="Q142" i="1"/>
  <c r="Q180" i="1"/>
  <c r="Q183" i="1"/>
  <c r="Q192" i="1"/>
  <c r="Q195" i="1"/>
  <c r="Q267" i="1"/>
  <c r="Q270" i="1"/>
  <c r="Q273" i="1"/>
  <c r="Q287" i="1"/>
  <c r="Q236" i="1"/>
  <c r="AA36" i="1"/>
  <c r="Q263" i="1"/>
  <c r="Q275" i="1"/>
  <c r="Q82" i="1"/>
  <c r="Q19" i="1"/>
  <c r="Q35" i="1"/>
  <c r="Q50" i="1"/>
  <c r="Q53" i="1"/>
  <c r="Q56" i="1"/>
  <c r="Q86" i="1"/>
  <c r="Q89" i="1"/>
  <c r="Q115" i="1"/>
  <c r="Q124" i="1"/>
  <c r="Q127" i="1"/>
  <c r="Q133" i="1"/>
  <c r="Q136" i="1"/>
  <c r="Q139" i="1"/>
  <c r="Q174" i="1"/>
  <c r="Q351" i="1"/>
  <c r="Q354" i="1"/>
  <c r="Q369" i="1"/>
  <c r="Q404" i="1"/>
  <c r="Q215" i="1"/>
  <c r="Q307" i="1"/>
  <c r="Q347" i="1"/>
  <c r="Q91" i="1"/>
  <c r="Q105" i="1"/>
  <c r="Q194" i="1"/>
  <c r="Q260" i="1"/>
  <c r="Q272" i="1"/>
  <c r="V6" i="1"/>
  <c r="Z6" i="1" s="1"/>
  <c r="AA6" i="1" s="1"/>
  <c r="Q77" i="1"/>
  <c r="Q229" i="1"/>
  <c r="Q392" i="1"/>
  <c r="V14" i="1"/>
  <c r="Z14" i="1" s="1"/>
  <c r="AA14" i="1" s="1"/>
  <c r="Q17" i="1"/>
  <c r="Q30" i="1"/>
  <c r="Q343" i="1"/>
  <c r="Q346" i="1"/>
  <c r="Q370" i="1"/>
  <c r="Q387" i="1"/>
  <c r="V9" i="1"/>
  <c r="Z9" i="1" s="1"/>
  <c r="AA9" i="1" s="1"/>
  <c r="Q25" i="1"/>
  <c r="Q57" i="1"/>
  <c r="Q60" i="1"/>
  <c r="Q90" i="1"/>
  <c r="Q96" i="1"/>
  <c r="Q110" i="1"/>
  <c r="Q163" i="1"/>
  <c r="Q167" i="1"/>
  <c r="Q170" i="1"/>
  <c r="Q280" i="1"/>
  <c r="Q283" i="1"/>
  <c r="Q319" i="1"/>
  <c r="Q322" i="1"/>
  <c r="Q364" i="1"/>
  <c r="Q367" i="1"/>
  <c r="Q401" i="1"/>
  <c r="Q39" i="1"/>
  <c r="Q304" i="1"/>
  <c r="Q325" i="1"/>
  <c r="Q335" i="1"/>
  <c r="Q230" i="1"/>
  <c r="Q168" i="1"/>
  <c r="V11" i="1"/>
  <c r="Z11" i="1" s="1"/>
  <c r="AA11" i="1" s="1"/>
  <c r="Q10" i="1"/>
  <c r="Q12" i="1"/>
  <c r="Q20" i="1"/>
  <c r="Q61" i="1"/>
  <c r="Q99" i="1"/>
  <c r="Q152" i="1"/>
  <c r="Q173" i="1"/>
  <c r="Q242" i="1"/>
  <c r="Q245" i="1"/>
  <c r="Q256" i="1"/>
  <c r="Q277" i="1"/>
  <c r="Q286" i="1"/>
  <c r="Q358" i="1"/>
  <c r="Q383" i="1"/>
  <c r="Q394" i="1"/>
  <c r="Q23" i="1"/>
  <c r="Q28" i="1"/>
  <c r="Q48" i="1"/>
  <c r="Q66" i="1"/>
  <c r="Q69" i="1"/>
  <c r="Q75" i="1"/>
  <c r="Q78" i="1"/>
  <c r="Q81" i="1"/>
  <c r="Q84" i="1"/>
  <c r="Q104" i="1"/>
  <c r="Q107" i="1"/>
  <c r="Q113" i="1"/>
  <c r="Q116" i="1"/>
  <c r="Q119" i="1"/>
  <c r="Q130" i="1"/>
  <c r="Q148" i="1"/>
  <c r="Q151" i="1"/>
  <c r="Q154" i="1"/>
  <c r="Q157" i="1"/>
  <c r="Q169" i="1"/>
  <c r="Q178" i="1"/>
  <c r="Q181" i="1"/>
  <c r="Q187" i="1"/>
  <c r="Q207" i="1"/>
  <c r="Q210" i="1"/>
  <c r="Q225" i="1"/>
  <c r="Q246" i="1"/>
  <c r="Q255" i="1"/>
  <c r="Q258" i="1"/>
  <c r="Q264" i="1"/>
  <c r="Q290" i="1"/>
  <c r="Q301" i="1"/>
  <c r="Q305" i="1"/>
  <c r="Q176" i="1"/>
  <c r="Q208" i="1"/>
  <c r="Q241" i="1"/>
  <c r="Q250" i="1"/>
  <c r="Q261" i="1"/>
  <c r="Q285" i="1"/>
  <c r="Q288" i="1"/>
  <c r="Q296" i="1"/>
  <c r="Q314" i="1"/>
  <c r="Q318" i="1"/>
  <c r="Q321" i="1"/>
  <c r="Q381" i="1"/>
  <c r="Q391" i="1"/>
  <c r="Q398" i="1"/>
  <c r="Q6" i="1"/>
  <c r="Q14" i="1"/>
  <c r="Q49" i="1"/>
  <c r="Q52" i="1"/>
  <c r="Q55" i="1"/>
  <c r="Q70" i="1"/>
  <c r="Q73" i="1"/>
  <c r="Q108" i="1"/>
  <c r="Q111" i="1"/>
  <c r="Q114" i="1"/>
  <c r="Q117" i="1"/>
  <c r="Q125" i="1"/>
  <c r="Q155" i="1"/>
  <c r="Q161" i="1"/>
  <c r="Q164" i="1"/>
  <c r="Q182" i="1"/>
  <c r="Q185" i="1"/>
  <c r="Q188" i="1"/>
  <c r="Q220" i="1"/>
  <c r="Q262" i="1"/>
  <c r="Q282" i="1"/>
  <c r="Q291" i="1"/>
  <c r="Q299" i="1"/>
  <c r="Q356" i="1"/>
  <c r="Q24" i="1"/>
  <c r="Q37" i="1"/>
  <c r="Q76" i="1"/>
  <c r="Q79" i="1"/>
  <c r="Q93" i="1"/>
  <c r="Q126" i="1"/>
  <c r="Q129" i="1"/>
  <c r="Q132" i="1"/>
  <c r="Q141" i="1"/>
  <c r="Q144" i="1"/>
  <c r="Q191" i="1"/>
  <c r="Q200" i="1"/>
  <c r="Q218" i="1"/>
  <c r="Q221" i="1"/>
  <c r="Q265" i="1"/>
  <c r="Q268" i="1"/>
  <c r="Q271" i="1"/>
  <c r="Q294" i="1"/>
  <c r="Q312" i="1"/>
  <c r="Q315" i="1"/>
  <c r="Q324" i="1"/>
  <c r="Q327" i="1"/>
  <c r="Q348" i="1"/>
  <c r="Q359" i="1"/>
  <c r="Q378" i="1"/>
  <c r="Q385" i="1"/>
  <c r="AA24" i="1"/>
  <c r="AA19" i="1"/>
  <c r="AA12" i="1"/>
  <c r="AA17" i="1"/>
  <c r="AA32" i="1"/>
  <c r="AA16" i="1"/>
  <c r="Q21" i="1"/>
  <c r="Q41" i="1"/>
  <c r="Q44" i="1"/>
  <c r="Q103" i="1"/>
  <c r="Q106" i="1"/>
  <c r="Q159" i="1"/>
  <c r="Q216" i="1"/>
  <c r="Q345" i="1"/>
  <c r="Q390" i="1"/>
  <c r="Q146" i="1"/>
  <c r="Q205" i="1"/>
  <c r="Q228" i="1"/>
  <c r="Q337" i="1"/>
  <c r="AA37" i="1"/>
  <c r="Q8" i="1"/>
  <c r="AA23" i="1"/>
  <c r="Q123" i="1"/>
  <c r="Q68" i="1"/>
  <c r="Q63" i="1"/>
  <c r="Q149" i="1"/>
  <c r="Q259" i="1"/>
  <c r="Q328" i="1"/>
  <c r="Q331" i="1"/>
  <c r="Q375" i="1"/>
  <c r="Q376" i="1"/>
  <c r="Q59" i="1"/>
  <c r="Q7" i="1"/>
  <c r="V13" i="1"/>
  <c r="Z13" i="1" s="1"/>
  <c r="AA13" i="1" s="1"/>
  <c r="V18" i="1"/>
  <c r="Z18" i="1" s="1"/>
  <c r="AA18" i="1" s="1"/>
  <c r="Q87" i="1"/>
  <c r="Q92" i="1"/>
  <c r="Q135" i="1"/>
  <c r="Q140" i="1"/>
  <c r="Q199" i="1"/>
  <c r="Q303" i="1"/>
  <c r="Q308" i="1"/>
  <c r="Q330" i="1"/>
  <c r="Q336" i="1"/>
  <c r="Q363" i="1"/>
  <c r="Q368" i="1"/>
  <c r="Q402" i="1"/>
  <c r="Q40" i="1"/>
  <c r="Q51" i="1"/>
  <c r="Q179" i="1"/>
  <c r="Q184" i="1"/>
  <c r="Q243" i="1"/>
  <c r="Q279" i="1"/>
  <c r="Q311" i="1"/>
  <c r="Q339" i="1"/>
  <c r="V10" i="1"/>
  <c r="Z10" i="1" s="1"/>
  <c r="AA10" i="1" s="1"/>
  <c r="Q29" i="1"/>
  <c r="Q36" i="1"/>
  <c r="Q95" i="1"/>
  <c r="Q143" i="1"/>
  <c r="Q233" i="1"/>
  <c r="Q269" i="1"/>
  <c r="Q295" i="1"/>
  <c r="Q300" i="1"/>
  <c r="Q355" i="1"/>
  <c r="Q360" i="1"/>
  <c r="Q39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1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</valueMetadata>
</metadata>
</file>

<file path=xl/sharedStrings.xml><?xml version="1.0" encoding="utf-8"?>
<sst xmlns="http://schemas.openxmlformats.org/spreadsheetml/2006/main" count="3594" uniqueCount="889">
  <si>
    <t>Alto :</t>
  </si>
  <si>
    <t>H</t>
  </si>
  <si>
    <t>Ancho :</t>
  </si>
  <si>
    <t>W</t>
  </si>
  <si>
    <t xml:space="preserve">Profundo: </t>
  </si>
  <si>
    <t>D</t>
  </si>
  <si>
    <t xml:space="preserve">IP: </t>
  </si>
  <si>
    <t>Codigo</t>
  </si>
  <si>
    <t>Categoria</t>
  </si>
  <si>
    <t>SubCodigo1</t>
  </si>
  <si>
    <t>SubCodigo2</t>
  </si>
  <si>
    <t>Alto</t>
  </si>
  <si>
    <t>Ancho</t>
  </si>
  <si>
    <t>Profundo</t>
  </si>
  <si>
    <t>Criterio1</t>
  </si>
  <si>
    <t>Criterio2</t>
  </si>
  <si>
    <t>Criterio3</t>
  </si>
  <si>
    <t>Criterio4</t>
  </si>
  <si>
    <t>Definición</t>
  </si>
  <si>
    <t>Criterio5</t>
  </si>
  <si>
    <t>CodigoB</t>
  </si>
  <si>
    <t xml:space="preserve">Marco </t>
  </si>
  <si>
    <t>017000</t>
  </si>
  <si>
    <t>014000</t>
  </si>
  <si>
    <t>010020</t>
  </si>
  <si>
    <t>1.1.1.</t>
  </si>
  <si>
    <t>Marco</t>
  </si>
  <si>
    <t>Ma</t>
  </si>
  <si>
    <t>017001</t>
  </si>
  <si>
    <t>014001</t>
  </si>
  <si>
    <t>1.1.2.</t>
  </si>
  <si>
    <t>Puerta/Marco liso</t>
  </si>
  <si>
    <t>Pu</t>
  </si>
  <si>
    <t>Plena</t>
  </si>
  <si>
    <t>017002</t>
  </si>
  <si>
    <t>014002</t>
  </si>
  <si>
    <t>1.1.3.</t>
  </si>
  <si>
    <t>Kit paneles laterales</t>
  </si>
  <si>
    <t>PaL</t>
  </si>
  <si>
    <t>Sencillo</t>
  </si>
  <si>
    <t>017003</t>
  </si>
  <si>
    <t>010021</t>
  </si>
  <si>
    <t>1.1.4.</t>
  </si>
  <si>
    <t>Panel posterior</t>
  </si>
  <si>
    <t>PaP</t>
  </si>
  <si>
    <t>Pleno</t>
  </si>
  <si>
    <t>017004</t>
  </si>
  <si>
    <t>1.1.5.</t>
  </si>
  <si>
    <t>Panel superior</t>
  </si>
  <si>
    <t>Pa</t>
  </si>
  <si>
    <t>Superior</t>
  </si>
  <si>
    <t>017005</t>
  </si>
  <si>
    <t>1.1.6.</t>
  </si>
  <si>
    <t>Base inferior</t>
  </si>
  <si>
    <t>Ba</t>
  </si>
  <si>
    <t>Estructural</t>
  </si>
  <si>
    <t>017006</t>
  </si>
  <si>
    <t>010022</t>
  </si>
  <si>
    <t>1.1.7.</t>
  </si>
  <si>
    <t>Kit tapa zocalos laterales</t>
  </si>
  <si>
    <t>Zo</t>
  </si>
  <si>
    <t>Laterales</t>
  </si>
  <si>
    <t>017007</t>
  </si>
  <si>
    <t>1.1.8.</t>
  </si>
  <si>
    <t>Kit tapa zocalos Frontales</t>
  </si>
  <si>
    <t>Frontales</t>
  </si>
  <si>
    <t>017008</t>
  </si>
  <si>
    <t>1.1.9.</t>
  </si>
  <si>
    <t>Pane linferior</t>
  </si>
  <si>
    <t>Inferior</t>
  </si>
  <si>
    <t>017009</t>
  </si>
  <si>
    <t>010024</t>
  </si>
  <si>
    <t>1.1.10.</t>
  </si>
  <si>
    <t>Paral interno vertical total</t>
  </si>
  <si>
    <t>PaIV</t>
  </si>
  <si>
    <t>Total</t>
  </si>
  <si>
    <t>017010</t>
  </si>
  <si>
    <t>1.1.11.</t>
  </si>
  <si>
    <t>Paral interno vertical intermedio</t>
  </si>
  <si>
    <t>PaI</t>
  </si>
  <si>
    <t>Vertical</t>
  </si>
  <si>
    <t>017011</t>
  </si>
  <si>
    <t>1.1.12.</t>
  </si>
  <si>
    <t>Paral interno horizontal</t>
  </si>
  <si>
    <t>Horizontal</t>
  </si>
  <si>
    <t>017012</t>
  </si>
  <si>
    <t>014003</t>
  </si>
  <si>
    <t>1.1.13.</t>
  </si>
  <si>
    <t>Ducto de cables</t>
  </si>
  <si>
    <t>DuC</t>
  </si>
  <si>
    <t>017013</t>
  </si>
  <si>
    <t>014004</t>
  </si>
  <si>
    <t>1.1.14.</t>
  </si>
  <si>
    <t>Kit union posterior</t>
  </si>
  <si>
    <t>Ki</t>
  </si>
  <si>
    <t>Union</t>
  </si>
  <si>
    <t>Posterior</t>
  </si>
  <si>
    <t>017014</t>
  </si>
  <si>
    <t>014005</t>
  </si>
  <si>
    <t>1.1.15.</t>
  </si>
  <si>
    <t>Segregación frontal*</t>
  </si>
  <si>
    <t>Se</t>
  </si>
  <si>
    <t>017015</t>
  </si>
  <si>
    <t/>
  </si>
  <si>
    <t>017016</t>
  </si>
  <si>
    <t>1.2.1.</t>
  </si>
  <si>
    <t>Hablador</t>
  </si>
  <si>
    <t>SinReferencia</t>
  </si>
  <si>
    <t>017017</t>
  </si>
  <si>
    <t>1.2.2.</t>
  </si>
  <si>
    <t>Kit de cancamos</t>
  </si>
  <si>
    <t>CaE</t>
  </si>
  <si>
    <t>017018</t>
  </si>
  <si>
    <t>1.2.3.</t>
  </si>
  <si>
    <t>Angulo de izaje</t>
  </si>
  <si>
    <t>AnI</t>
  </si>
  <si>
    <t>017019</t>
  </si>
  <si>
    <t>1.2.4.</t>
  </si>
  <si>
    <t>Grua</t>
  </si>
  <si>
    <t>017020</t>
  </si>
  <si>
    <t>017021</t>
  </si>
  <si>
    <t>010023</t>
  </si>
  <si>
    <t>1.3.1.</t>
  </si>
  <si>
    <t>Cubierta para modulo</t>
  </si>
  <si>
    <t>017022</t>
  </si>
  <si>
    <t>1.3.2.</t>
  </si>
  <si>
    <t>Cubierta para ventilación</t>
  </si>
  <si>
    <t>017023</t>
  </si>
  <si>
    <t>1.4.1.</t>
  </si>
  <si>
    <t>Cubierta de ventilación</t>
  </si>
  <si>
    <t>017024</t>
  </si>
  <si>
    <t>1.4.2.</t>
  </si>
  <si>
    <t>Segregación</t>
  </si>
  <si>
    <t>017025</t>
  </si>
  <si>
    <t>017026</t>
  </si>
  <si>
    <t>014006</t>
  </si>
  <si>
    <t>1.5.1.</t>
  </si>
  <si>
    <t>017027</t>
  </si>
  <si>
    <t>014007</t>
  </si>
  <si>
    <t>1.5.2.</t>
  </si>
  <si>
    <t>Accesorio de poste</t>
  </si>
  <si>
    <t>017028</t>
  </si>
  <si>
    <t>014008</t>
  </si>
  <si>
    <t>1.5.3.</t>
  </si>
  <si>
    <t>Accesorio de muro</t>
  </si>
  <si>
    <t>017029</t>
  </si>
  <si>
    <t>1.5.4.</t>
  </si>
  <si>
    <t>017030</t>
  </si>
  <si>
    <t>1.6.1.</t>
  </si>
  <si>
    <t>Placa para modulo</t>
  </si>
  <si>
    <t>PlM</t>
  </si>
  <si>
    <t>Grande</t>
  </si>
  <si>
    <t>017031</t>
  </si>
  <si>
    <t>1.6.2.</t>
  </si>
  <si>
    <t>Tapa del modulo</t>
  </si>
  <si>
    <t>TaM</t>
  </si>
  <si>
    <t>PM6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</si>
  <si>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</si>
  <si>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</si>
  <si>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</si>
  <si>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</si>
  <si>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</si>
  <si>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</si>
  <si>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</si>
  <si>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</si>
  <si>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013100</t>
  </si>
  <si>
    <t>1800</t>
  </si>
  <si>
    <t>400</t>
  </si>
  <si>
    <t>Liso</t>
  </si>
  <si>
    <t>013101</t>
  </si>
  <si>
    <t>720</t>
  </si>
  <si>
    <t>013102</t>
  </si>
  <si>
    <t>1120</t>
  </si>
  <si>
    <t>013103</t>
  </si>
  <si>
    <t>2000</t>
  </si>
  <si>
    <t>013104</t>
  </si>
  <si>
    <t>013105</t>
  </si>
  <si>
    <t>800</t>
  </si>
  <si>
    <t>013106</t>
  </si>
  <si>
    <t>013107</t>
  </si>
  <si>
    <t>2200</t>
  </si>
  <si>
    <t>013108</t>
  </si>
  <si>
    <t>013109</t>
  </si>
  <si>
    <t>013110</t>
  </si>
  <si>
    <t xml:space="preserve">Puerta </t>
  </si>
  <si>
    <t>014100</t>
  </si>
  <si>
    <t xml:space="preserve">Plena </t>
  </si>
  <si>
    <t>014101</t>
  </si>
  <si>
    <t>014102</t>
  </si>
  <si>
    <t>014103</t>
  </si>
  <si>
    <t>014104</t>
  </si>
  <si>
    <t>014105</t>
  </si>
  <si>
    <t>014106</t>
  </si>
  <si>
    <t>014107</t>
  </si>
  <si>
    <t>014108</t>
  </si>
  <si>
    <t>014109</t>
  </si>
  <si>
    <t>014110</t>
  </si>
  <si>
    <t>014654</t>
  </si>
  <si>
    <t xml:space="preserve">Corte </t>
  </si>
  <si>
    <t>_SE223*223</t>
  </si>
  <si>
    <t>014655</t>
  </si>
  <si>
    <t>014656</t>
  </si>
  <si>
    <t>014657</t>
  </si>
  <si>
    <t>014658</t>
  </si>
  <si>
    <t>014659</t>
  </si>
  <si>
    <t>014660</t>
  </si>
  <si>
    <t>014661</t>
  </si>
  <si>
    <t>014662</t>
  </si>
  <si>
    <t>_NG-229*229</t>
  </si>
  <si>
    <t>014663</t>
  </si>
  <si>
    <t>014664</t>
  </si>
  <si>
    <t>014665</t>
  </si>
  <si>
    <t>014666</t>
  </si>
  <si>
    <t>014667</t>
  </si>
  <si>
    <t>014668</t>
  </si>
  <si>
    <t>014669</t>
  </si>
  <si>
    <t>014670</t>
  </si>
  <si>
    <t>_NM-180*180</t>
  </si>
  <si>
    <t>014671</t>
  </si>
  <si>
    <t>014672</t>
  </si>
  <si>
    <t>014673</t>
  </si>
  <si>
    <t>014674</t>
  </si>
  <si>
    <t>014675</t>
  </si>
  <si>
    <t>014676</t>
  </si>
  <si>
    <t>014677</t>
  </si>
  <si>
    <t>014678</t>
  </si>
  <si>
    <t>_NP-125*125</t>
  </si>
  <si>
    <t>014679</t>
  </si>
  <si>
    <t>014680</t>
  </si>
  <si>
    <t>014681</t>
  </si>
  <si>
    <t>014682</t>
  </si>
  <si>
    <t>014683</t>
  </si>
  <si>
    <t>014684</t>
  </si>
  <si>
    <t>014685</t>
  </si>
  <si>
    <t>014686</t>
  </si>
  <si>
    <t xml:space="preserve">Vidrio 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</si>
  <si>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</si>
  <si>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</si>
  <si>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</si>
  <si>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</si>
  <si>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</si>
  <si>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</si>
  <si>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</si>
  <si>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</si>
  <si>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Placa</t>
  </si>
  <si>
    <t>_Pequeña</t>
  </si>
  <si>
    <t>014695</t>
  </si>
  <si>
    <t>014696</t>
  </si>
  <si>
    <t>014697</t>
  </si>
  <si>
    <t>014698</t>
  </si>
  <si>
    <t>014699</t>
  </si>
  <si>
    <t>014700</t>
  </si>
  <si>
    <t>014701</t>
  </si>
  <si>
    <t>014702</t>
  </si>
  <si>
    <t xml:space="preserve">_Mediana 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</si>
  <si>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</si>
  <si>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</si>
  <si>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</si>
  <si>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</si>
  <si>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</si>
  <si>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</si>
  <si>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</si>
  <si>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</si>
  <si>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_Grande</t>
  </si>
  <si>
    <t>014711</t>
  </si>
  <si>
    <t>014116</t>
  </si>
  <si>
    <t>014712</t>
  </si>
  <si>
    <t>014713</t>
  </si>
  <si>
    <t>014714</t>
  </si>
  <si>
    <t>014715</t>
  </si>
  <si>
    <t>014622</t>
  </si>
  <si>
    <t>Doble</t>
  </si>
  <si>
    <t>_SE-223*223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</si>
  <si>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</si>
  <si>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</si>
  <si>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</si>
  <si>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</si>
  <si>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</si>
  <si>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</si>
  <si>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</si>
  <si>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</si>
  <si>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</si>
  <si>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</si>
  <si>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</si>
  <si>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</si>
  <si>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</si>
  <si>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</si>
  <si>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014637</t>
  </si>
  <si>
    <t>014638</t>
  </si>
  <si>
    <t>014639</t>
  </si>
  <si>
    <t>014640</t>
  </si>
  <si>
    <t>014641</t>
  </si>
  <si>
    <t>014642</t>
  </si>
  <si>
    <t>014643</t>
  </si>
  <si>
    <t>014644</t>
  </si>
  <si>
    <t>014645</t>
  </si>
  <si>
    <t>014646</t>
  </si>
  <si>
    <t>014647</t>
  </si>
  <si>
    <t>014648</t>
  </si>
  <si>
    <t>014649</t>
  </si>
  <si>
    <t>014650</t>
  </si>
  <si>
    <t>014651</t>
  </si>
  <si>
    <t>014652</t>
  </si>
  <si>
    <t>014653</t>
  </si>
  <si>
    <t xml:space="preserve">Panel </t>
  </si>
  <si>
    <t>014025</t>
  </si>
  <si>
    <t xml:space="preserve">Lateral </t>
  </si>
  <si>
    <t xml:space="preserve">Pleno 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</si>
  <si>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</si>
  <si>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</si>
  <si>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</si>
  <si>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</si>
  <si>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</si>
  <si>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</si>
  <si>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</si>
  <si>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</si>
  <si>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014586</t>
  </si>
  <si>
    <t>014587</t>
  </si>
  <si>
    <t>014588</t>
  </si>
  <si>
    <t>014589</t>
  </si>
  <si>
    <t>014590</t>
  </si>
  <si>
    <t>014591</t>
  </si>
  <si>
    <t>014592</t>
  </si>
  <si>
    <t>014593</t>
  </si>
  <si>
    <t>014594</t>
  </si>
  <si>
    <t>014595</t>
  </si>
  <si>
    <t>014596</t>
  </si>
  <si>
    <t>014597</t>
  </si>
  <si>
    <t>014598</t>
  </si>
  <si>
    <t>014599</t>
  </si>
  <si>
    <t>014600</t>
  </si>
  <si>
    <t>014601</t>
  </si>
  <si>
    <t>014602</t>
  </si>
  <si>
    <t>014603</t>
  </si>
  <si>
    <t>014604</t>
  </si>
  <si>
    <t>014605</t>
  </si>
  <si>
    <t>014606</t>
  </si>
  <si>
    <t>014607</t>
  </si>
  <si>
    <t>014608</t>
  </si>
  <si>
    <t>014609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</si>
  <si>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</si>
  <si>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</si>
  <si>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</si>
  <si>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</si>
  <si>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</si>
  <si>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</si>
  <si>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</si>
  <si>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</si>
  <si>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</si>
  <si>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</si>
  <si>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</si>
  <si>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</si>
  <si>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014050</t>
  </si>
  <si>
    <t xml:space="preserve">Posterior 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</si>
  <si>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</si>
  <si>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</si>
  <si>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</si>
  <si>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</si>
  <si>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</si>
  <si>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</si>
  <si>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</si>
  <si>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</si>
  <si>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</si>
  <si>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</si>
  <si>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</si>
  <si>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</si>
  <si>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</si>
  <si>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014510</t>
  </si>
  <si>
    <t>014511</t>
  </si>
  <si>
    <t>014512</t>
  </si>
  <si>
    <t>014513</t>
  </si>
  <si>
    <t>014514</t>
  </si>
  <si>
    <t>014515</t>
  </si>
  <si>
    <t>014516</t>
  </si>
  <si>
    <t>014517</t>
  </si>
  <si>
    <t>014518</t>
  </si>
  <si>
    <t>014519</t>
  </si>
  <si>
    <t>014520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</si>
  <si>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</si>
  <si>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</si>
  <si>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</si>
  <si>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</si>
  <si>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</si>
  <si>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</si>
  <si>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</si>
  <si>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</si>
  <si>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</si>
  <si>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</si>
  <si>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</si>
  <si>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</si>
  <si>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</si>
  <si>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</si>
  <si>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</si>
  <si>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</si>
  <si>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</si>
  <si>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</si>
  <si>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</si>
  <si>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</si>
  <si>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014541</t>
  </si>
  <si>
    <t>014542</t>
  </si>
  <si>
    <t>014543</t>
  </si>
  <si>
    <t>014544</t>
  </si>
  <si>
    <t>014545</t>
  </si>
  <si>
    <t>014546</t>
  </si>
  <si>
    <t>014547</t>
  </si>
  <si>
    <t>014548</t>
  </si>
  <si>
    <t>014549</t>
  </si>
  <si>
    <t>014550</t>
  </si>
  <si>
    <t>014551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</si>
  <si>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</si>
  <si>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</si>
  <si>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</si>
  <si>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</si>
  <si>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</si>
  <si>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</si>
  <si>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</si>
  <si>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</si>
  <si>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</si>
  <si>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</si>
  <si>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</si>
  <si>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</si>
  <si>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014564</t>
  </si>
  <si>
    <t>014565</t>
  </si>
  <si>
    <t>014566</t>
  </si>
  <si>
    <t>014567</t>
  </si>
  <si>
    <t>014568</t>
  </si>
  <si>
    <t>014569</t>
  </si>
  <si>
    <t>014570</t>
  </si>
  <si>
    <t>014571</t>
  </si>
  <si>
    <t>014572</t>
  </si>
  <si>
    <t>014573</t>
  </si>
  <si>
    <t>014574</t>
  </si>
  <si>
    <t>014575</t>
  </si>
  <si>
    <t>014576</t>
  </si>
  <si>
    <t>014577</t>
  </si>
  <si>
    <t>014578</t>
  </si>
  <si>
    <t>014579</t>
  </si>
  <si>
    <t>014580</t>
  </si>
  <si>
    <t>014581</t>
  </si>
  <si>
    <t>014582</t>
  </si>
  <si>
    <t>014583</t>
  </si>
  <si>
    <t>014584</t>
  </si>
  <si>
    <t>014585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</si>
  <si>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</si>
  <si>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</si>
  <si>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</si>
  <si>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</si>
  <si>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</si>
  <si>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</si>
  <si>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</si>
  <si>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</si>
  <si>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</si>
  <si>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010060</t>
  </si>
  <si>
    <t>010061</t>
  </si>
  <si>
    <t>010062</t>
  </si>
  <si>
    <t>010063</t>
  </si>
  <si>
    <t>010064</t>
  </si>
  <si>
    <t>014250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</si>
  <si>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</si>
  <si>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</si>
  <si>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</si>
  <si>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</si>
  <si>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</si>
  <si>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</si>
  <si>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</si>
  <si>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</si>
  <si>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014259</t>
  </si>
  <si>
    <t>014260</t>
  </si>
  <si>
    <t>014261</t>
  </si>
  <si>
    <t>014262</t>
  </si>
  <si>
    <t>014263</t>
  </si>
  <si>
    <t xml:space="preserve">Base </t>
  </si>
  <si>
    <t>015000</t>
  </si>
  <si>
    <t>015001</t>
  </si>
  <si>
    <t>015002</t>
  </si>
  <si>
    <t>015003</t>
  </si>
  <si>
    <t>015004</t>
  </si>
  <si>
    <t>015005</t>
  </si>
  <si>
    <t>015006</t>
  </si>
  <si>
    <t>015007</t>
  </si>
  <si>
    <t>015008</t>
  </si>
  <si>
    <t>015009</t>
  </si>
  <si>
    <t>015010</t>
  </si>
  <si>
    <t>015011</t>
  </si>
  <si>
    <t>015012</t>
  </si>
  <si>
    <t>015013</t>
  </si>
  <si>
    <t>014500</t>
  </si>
  <si>
    <t>Zocalo</t>
  </si>
  <si>
    <t>015014</t>
  </si>
  <si>
    <t>200</t>
  </si>
  <si>
    <t xml:space="preserve">Estructural </t>
  </si>
  <si>
    <t>H:</t>
  </si>
  <si>
    <t>015015</t>
  </si>
  <si>
    <t>600</t>
  </si>
  <si>
    <t>015016</t>
  </si>
  <si>
    <t>1000</t>
  </si>
  <si>
    <t>015017</t>
  </si>
  <si>
    <t>015018</t>
  </si>
  <si>
    <t>015019</t>
  </si>
  <si>
    <t>015020</t>
  </si>
  <si>
    <t>015021</t>
  </si>
  <si>
    <t>015022</t>
  </si>
  <si>
    <t>015023</t>
  </si>
  <si>
    <t>015024</t>
  </si>
  <si>
    <t>015025</t>
  </si>
  <si>
    <t>015026</t>
  </si>
  <si>
    <t>015027</t>
  </si>
  <si>
    <t xml:space="preserve">Zocalo </t>
  </si>
  <si>
    <t>010176</t>
  </si>
  <si>
    <t>Lateral</t>
  </si>
  <si>
    <t>010177</t>
  </si>
  <si>
    <t>010180</t>
  </si>
  <si>
    <t>010175</t>
  </si>
  <si>
    <t>Frontal</t>
  </si>
  <si>
    <t>010178</t>
  </si>
  <si>
    <t>010179</t>
  </si>
  <si>
    <t>010181</t>
  </si>
  <si>
    <t xml:space="preserve">Paral </t>
  </si>
  <si>
    <t>014150</t>
  </si>
  <si>
    <t xml:space="preserve">Interno </t>
  </si>
  <si>
    <t>014151</t>
  </si>
  <si>
    <t>014152</t>
  </si>
  <si>
    <t xml:space="preserve">Vertical </t>
  </si>
  <si>
    <t>014153</t>
  </si>
  <si>
    <t>014154</t>
  </si>
  <si>
    <t>014155</t>
  </si>
  <si>
    <t xml:space="preserve">Ducto </t>
  </si>
  <si>
    <t>014300</t>
  </si>
  <si>
    <t>Cables</t>
  </si>
  <si>
    <t>014301</t>
  </si>
  <si>
    <t>014302</t>
  </si>
  <si>
    <t>014303</t>
  </si>
  <si>
    <t xml:space="preserve">Kit </t>
  </si>
  <si>
    <t>012000</t>
  </si>
  <si>
    <t xml:space="preserve">Union </t>
  </si>
  <si>
    <t xml:space="preserve">Segregacion </t>
  </si>
  <si>
    <t>021040</t>
  </si>
  <si>
    <t>Frontal*</t>
  </si>
  <si>
    <t>021041</t>
  </si>
  <si>
    <t>021042</t>
  </si>
  <si>
    <t>024600</t>
  </si>
  <si>
    <t>024601</t>
  </si>
  <si>
    <t>024602</t>
  </si>
  <si>
    <t xml:space="preserve">Cancamo </t>
  </si>
  <si>
    <t>014501</t>
  </si>
  <si>
    <t>Estandar</t>
  </si>
  <si>
    <t xml:space="preserve">Angulo </t>
  </si>
  <si>
    <t>014502</t>
  </si>
  <si>
    <t xml:space="preserve">Izaje </t>
  </si>
  <si>
    <t xml:space="preserve">Placa </t>
  </si>
  <si>
    <t xml:space="preserve">Modulo </t>
  </si>
  <si>
    <t>Pequeña</t>
  </si>
  <si>
    <t>013201</t>
  </si>
  <si>
    <t>Mediana</t>
  </si>
  <si>
    <t>013202</t>
  </si>
  <si>
    <t xml:space="preserve">Tapa </t>
  </si>
  <si>
    <t>012110</t>
  </si>
  <si>
    <t>A</t>
  </si>
  <si>
    <t>T</t>
  </si>
  <si>
    <t>S</t>
  </si>
  <si>
    <t>012111</t>
  </si>
  <si>
    <t>P</t>
  </si>
  <si>
    <t>M</t>
  </si>
  <si>
    <t>OT:</t>
  </si>
  <si>
    <t>-</t>
  </si>
  <si>
    <t>Dimensionamiento /Opciones</t>
  </si>
  <si>
    <t>Ing. xxxxxxxx xxxxxxxxxx</t>
  </si>
  <si>
    <t>Inicio</t>
  </si>
  <si>
    <t>Columna1</t>
  </si>
  <si>
    <t>Envolventes</t>
  </si>
  <si>
    <t>C-Desing</t>
  </si>
  <si>
    <t>U. Funcionales</t>
  </si>
  <si>
    <t>Etiquetas</t>
  </si>
  <si>
    <t>Control</t>
  </si>
  <si>
    <t>Base de 
configuración</t>
  </si>
  <si>
    <t>APM</t>
  </si>
  <si>
    <t>APE</t>
  </si>
  <si>
    <t>PAE</t>
  </si>
  <si>
    <t>Izaje</t>
  </si>
  <si>
    <t>013200</t>
  </si>
  <si>
    <t>Fecha de Entrega:</t>
  </si>
  <si>
    <t>Area:</t>
  </si>
  <si>
    <t>DPM</t>
  </si>
  <si>
    <t>LPD</t>
  </si>
  <si>
    <t>Orden de Trabajo</t>
  </si>
  <si>
    <t>013205</t>
  </si>
  <si>
    <t>013206</t>
  </si>
  <si>
    <t>013207</t>
  </si>
  <si>
    <t>013208</t>
  </si>
  <si>
    <t xml:space="preserve">Ventilación </t>
  </si>
  <si>
    <t xml:space="preserve">Cubierta </t>
  </si>
  <si>
    <t xml:space="preserve">Natural </t>
  </si>
  <si>
    <t>Schneider</t>
  </si>
  <si>
    <t>Electric</t>
  </si>
  <si>
    <t>Pequeño</t>
  </si>
  <si>
    <t>Mediano</t>
  </si>
  <si>
    <t>EZC</t>
  </si>
  <si>
    <t>CVS</t>
  </si>
  <si>
    <t>NSX</t>
  </si>
  <si>
    <t>NS</t>
  </si>
  <si>
    <t>NW</t>
  </si>
  <si>
    <t>Fijo</t>
  </si>
  <si>
    <t>+C</t>
  </si>
  <si>
    <t>+N</t>
  </si>
  <si>
    <t>1</t>
  </si>
  <si>
    <t>Proyecto</t>
  </si>
  <si>
    <t>10 - 25</t>
  </si>
  <si>
    <t>10 - 40</t>
  </si>
  <si>
    <t>1600</t>
  </si>
  <si>
    <t>10 - 65</t>
  </si>
  <si>
    <t>2500</t>
  </si>
  <si>
    <t>VBB</t>
  </si>
  <si>
    <t>HBB</t>
  </si>
  <si>
    <t>3200</t>
  </si>
  <si>
    <t>10 - 85</t>
  </si>
  <si>
    <t>Acometidas</t>
  </si>
  <si>
    <t>PM</t>
  </si>
  <si>
    <t>Linea</t>
  </si>
  <si>
    <t>630</t>
  </si>
  <si>
    <t>Operación</t>
  </si>
  <si>
    <t>x1</t>
  </si>
  <si>
    <t>037000</t>
  </si>
  <si>
    <t>Placa de Montaje</t>
  </si>
  <si>
    <t>Topping</t>
  </si>
  <si>
    <t>FM</t>
  </si>
  <si>
    <t>021125</t>
  </si>
  <si>
    <t>024000</t>
  </si>
  <si>
    <t>021050</t>
  </si>
  <si>
    <t>024001</t>
  </si>
  <si>
    <t>021058</t>
  </si>
  <si>
    <t>024002</t>
  </si>
  <si>
    <t>021099</t>
  </si>
  <si>
    <t>024003</t>
  </si>
  <si>
    <t>021129</t>
  </si>
  <si>
    <t>021130</t>
  </si>
  <si>
    <t>021133</t>
  </si>
  <si>
    <t>024004</t>
  </si>
  <si>
    <t>021134</t>
  </si>
  <si>
    <t>021084</t>
  </si>
  <si>
    <t>024005</t>
  </si>
  <si>
    <t>025500</t>
  </si>
  <si>
    <t>021085</t>
  </si>
  <si>
    <t>024006</t>
  </si>
  <si>
    <t>021087</t>
  </si>
  <si>
    <t>024007</t>
  </si>
  <si>
    <t>021061</t>
  </si>
  <si>
    <t>025501</t>
  </si>
  <si>
    <t>021102</t>
  </si>
  <si>
    <t>024008</t>
  </si>
  <si>
    <t>021104</t>
  </si>
  <si>
    <t>024009</t>
  </si>
  <si>
    <t>021075</t>
  </si>
  <si>
    <t>024010</t>
  </si>
  <si>
    <t>021055</t>
  </si>
  <si>
    <t>024011</t>
  </si>
  <si>
    <t>021076</t>
  </si>
  <si>
    <t>024012</t>
  </si>
  <si>
    <t>021106</t>
  </si>
  <si>
    <t>024013</t>
  </si>
  <si>
    <t>021108</t>
  </si>
  <si>
    <t>024014</t>
  </si>
  <si>
    <t>021078</t>
  </si>
  <si>
    <t>024015</t>
  </si>
  <si>
    <t>021080</t>
  </si>
  <si>
    <t>024016</t>
  </si>
  <si>
    <t>025505</t>
  </si>
  <si>
    <t>024017</t>
  </si>
  <si>
    <t>021136</t>
  </si>
  <si>
    <t>025506</t>
  </si>
  <si>
    <t>024018</t>
  </si>
  <si>
    <t>021137</t>
  </si>
  <si>
    <t>025503</t>
  </si>
  <si>
    <t>024019</t>
  </si>
  <si>
    <t>025508</t>
  </si>
  <si>
    <t>025502</t>
  </si>
  <si>
    <t>025509</t>
  </si>
  <si>
    <t>024020</t>
  </si>
  <si>
    <t>021142</t>
  </si>
  <si>
    <t>025507</t>
  </si>
  <si>
    <t>024021</t>
  </si>
  <si>
    <t>021143</t>
  </si>
  <si>
    <t>025504</t>
  </si>
  <si>
    <t>024027</t>
  </si>
  <si>
    <t>021128</t>
  </si>
  <si>
    <t>024022</t>
  </si>
  <si>
    <t>024023</t>
  </si>
  <si>
    <t>021300</t>
  </si>
  <si>
    <t>024024</t>
  </si>
  <si>
    <t>024025</t>
  </si>
  <si>
    <t>021302</t>
  </si>
  <si>
    <t>024026</t>
  </si>
  <si>
    <t>025510</t>
  </si>
  <si>
    <t>024028</t>
  </si>
  <si>
    <t>025511</t>
  </si>
  <si>
    <t>024029</t>
  </si>
  <si>
    <t>025512</t>
  </si>
  <si>
    <t>024030</t>
  </si>
  <si>
    <t xml:space="preserve">de </t>
  </si>
  <si>
    <t xml:space="preserve">Contactores </t>
  </si>
  <si>
    <t xml:space="preserve">Horizontal </t>
  </si>
  <si>
    <t xml:space="preserve">W:400 </t>
  </si>
  <si>
    <t xml:space="preserve">W:720 </t>
  </si>
  <si>
    <t xml:space="preserve">DPS </t>
  </si>
  <si>
    <t xml:space="preserve">HWA </t>
  </si>
  <si>
    <t xml:space="preserve">D:400 </t>
  </si>
  <si>
    <t xml:space="preserve">D:600 </t>
  </si>
  <si>
    <t>Vertical Compacta</t>
  </si>
  <si>
    <t>E</t>
  </si>
  <si>
    <t>Montaje</t>
  </si>
  <si>
    <t>EZC 100</t>
  </si>
  <si>
    <t>Palanca</t>
  </si>
  <si>
    <t>EZC 250</t>
  </si>
  <si>
    <t xml:space="preserve">Horizontal COMPUESTA </t>
  </si>
  <si>
    <t>Motorizado</t>
  </si>
  <si>
    <t>CVS/NSX 250</t>
  </si>
  <si>
    <t>CVS/NSX/EZC 630</t>
  </si>
  <si>
    <t xml:space="preserve">Vertical Compacta </t>
  </si>
  <si>
    <t>NS 1600</t>
  </si>
  <si>
    <t xml:space="preserve">Vertical Extendida </t>
  </si>
  <si>
    <t xml:space="preserve">Conmutador PEQ. </t>
  </si>
  <si>
    <t>Conmutador MED.</t>
  </si>
  <si>
    <t>Conmutador GRA.</t>
  </si>
  <si>
    <t>Mini Breaker</t>
  </si>
  <si>
    <t>NW/MTZ 4000</t>
  </si>
  <si>
    <t>Conmutador PEQ.</t>
  </si>
  <si>
    <t>Contactores</t>
  </si>
  <si>
    <t>Horizontal COMPUESTA</t>
  </si>
  <si>
    <t>Vertical Extendida</t>
  </si>
  <si>
    <t>REFERENCIA</t>
  </si>
  <si>
    <t>Info</t>
  </si>
  <si>
    <t>Orientacion</t>
  </si>
  <si>
    <t>Operacion0</t>
  </si>
  <si>
    <t>Definicion</t>
  </si>
  <si>
    <t xml:space="preserve">UF.  </t>
  </si>
  <si>
    <t xml:space="preserve">Mini Breaker </t>
  </si>
  <si>
    <t xml:space="preserve">Fijo </t>
  </si>
  <si>
    <t xml:space="preserve">Palanca </t>
  </si>
  <si>
    <t xml:space="preserve">CVS/NSX 250 </t>
  </si>
  <si>
    <t xml:space="preserve">Motorizado </t>
  </si>
  <si>
    <t xml:space="preserve">EZC 100 </t>
  </si>
  <si>
    <t xml:space="preserve">EZC 250 </t>
  </si>
  <si>
    <t xml:space="preserve">CVS/NSX/EZC 630 </t>
  </si>
  <si>
    <t xml:space="preserve">NS 1600 </t>
  </si>
  <si>
    <t xml:space="preserve">NW/MTZ 4000 </t>
  </si>
  <si>
    <t xml:space="preserve">Extraible </t>
  </si>
  <si>
    <t xml:space="preserve">Conmutador MED. </t>
  </si>
  <si>
    <t xml:space="preserve">Conmutador GRA. </t>
  </si>
  <si>
    <t>2</t>
  </si>
  <si>
    <t>+ Liso</t>
  </si>
  <si>
    <t>1250</t>
  </si>
  <si>
    <t>Caracteristicas</t>
  </si>
  <si>
    <t>Icc</t>
  </si>
  <si>
    <t>In</t>
  </si>
  <si>
    <t>W (mm)</t>
  </si>
  <si>
    <t>Interruptor</t>
  </si>
  <si>
    <t>100 A</t>
  </si>
  <si>
    <t>250 A</t>
  </si>
  <si>
    <t>400 A</t>
  </si>
  <si>
    <t>630 A</t>
  </si>
  <si>
    <t>800 A</t>
  </si>
  <si>
    <t>1000 A</t>
  </si>
  <si>
    <t>1250 A</t>
  </si>
  <si>
    <t>1600 A</t>
  </si>
  <si>
    <t>2000 A</t>
  </si>
  <si>
    <t>2500 A</t>
  </si>
  <si>
    <t>3200 A</t>
  </si>
  <si>
    <t>4000 A</t>
  </si>
  <si>
    <t>L(mm)</t>
  </si>
  <si>
    <t>TC</t>
  </si>
  <si>
    <t>1/4</t>
  </si>
  <si>
    <t>047001</t>
  </si>
  <si>
    <t>047002</t>
  </si>
  <si>
    <t>047003</t>
  </si>
  <si>
    <t>047004</t>
  </si>
  <si>
    <t>1/2</t>
  </si>
  <si>
    <t>037001</t>
  </si>
  <si>
    <t>047005</t>
  </si>
  <si>
    <t>047006</t>
  </si>
  <si>
    <t>047007</t>
  </si>
  <si>
    <t>047008</t>
  </si>
  <si>
    <t>3/4</t>
  </si>
  <si>
    <t>037002</t>
  </si>
  <si>
    <t>037003</t>
  </si>
  <si>
    <t>TM</t>
  </si>
  <si>
    <t>038000</t>
  </si>
  <si>
    <t>048001</t>
  </si>
  <si>
    <t>048002</t>
  </si>
  <si>
    <t>048003</t>
  </si>
  <si>
    <t>048004</t>
  </si>
  <si>
    <t>037004</t>
  </si>
  <si>
    <t>047009</t>
  </si>
  <si>
    <t>047010</t>
  </si>
  <si>
    <t>047011</t>
  </si>
  <si>
    <t>047012</t>
  </si>
  <si>
    <t>038001</t>
  </si>
  <si>
    <t>048005</t>
  </si>
  <si>
    <t>048006</t>
  </si>
  <si>
    <t>048007</t>
  </si>
  <si>
    <t>048008</t>
  </si>
  <si>
    <t>037005</t>
  </si>
  <si>
    <t>047013</t>
  </si>
  <si>
    <t>047014</t>
  </si>
  <si>
    <t>047015</t>
  </si>
  <si>
    <t>047016</t>
  </si>
  <si>
    <t>400 + 400</t>
  </si>
  <si>
    <t>038002</t>
  </si>
  <si>
    <t>037006</t>
  </si>
  <si>
    <t>048009</t>
  </si>
  <si>
    <t>037007</t>
  </si>
  <si>
    <t>047017</t>
  </si>
  <si>
    <t>047018</t>
  </si>
  <si>
    <t>048010</t>
  </si>
  <si>
    <t>048011</t>
  </si>
  <si>
    <t>048012</t>
  </si>
  <si>
    <t>038003</t>
  </si>
  <si>
    <t>037008</t>
  </si>
  <si>
    <t>038004</t>
  </si>
  <si>
    <t>037009</t>
  </si>
  <si>
    <t>038005</t>
  </si>
  <si>
    <t>037010</t>
  </si>
  <si>
    <t>048013</t>
  </si>
  <si>
    <t>037011</t>
  </si>
  <si>
    <t>047019</t>
  </si>
  <si>
    <t>038006</t>
  </si>
  <si>
    <t>037012</t>
  </si>
  <si>
    <t>047020</t>
  </si>
  <si>
    <t>047021</t>
  </si>
  <si>
    <t>047022</t>
  </si>
  <si>
    <t>047023</t>
  </si>
  <si>
    <t>038007</t>
  </si>
  <si>
    <t>037013</t>
  </si>
  <si>
    <t>047024</t>
  </si>
  <si>
    <t>047025</t>
  </si>
  <si>
    <t>047026</t>
  </si>
  <si>
    <t>047027</t>
  </si>
  <si>
    <t>037014</t>
  </si>
  <si>
    <t>037015</t>
  </si>
  <si>
    <t>047028</t>
  </si>
  <si>
    <t>047029</t>
  </si>
  <si>
    <t>047030</t>
  </si>
  <si>
    <t>048014</t>
  </si>
  <si>
    <t>048015</t>
  </si>
  <si>
    <t>048016</t>
  </si>
  <si>
    <t>048017</t>
  </si>
  <si>
    <t>048018</t>
  </si>
  <si>
    <t>038008</t>
  </si>
  <si>
    <t>037016</t>
  </si>
  <si>
    <t>038009</t>
  </si>
  <si>
    <t>037017</t>
  </si>
  <si>
    <t>037018</t>
  </si>
  <si>
    <t>037019</t>
  </si>
  <si>
    <t>048019</t>
  </si>
  <si>
    <t>038010</t>
  </si>
  <si>
    <t>048020</t>
  </si>
  <si>
    <t>048021</t>
  </si>
  <si>
    <t>048022</t>
  </si>
  <si>
    <t>048023</t>
  </si>
  <si>
    <t>048024</t>
  </si>
  <si>
    <t>048025</t>
  </si>
  <si>
    <t>048026</t>
  </si>
  <si>
    <t>038011</t>
  </si>
  <si>
    <t>4000</t>
  </si>
  <si>
    <t>038012</t>
  </si>
  <si>
    <t>048027</t>
  </si>
  <si>
    <t>038013</t>
  </si>
  <si>
    <t>TH</t>
  </si>
  <si>
    <t>5000</t>
  </si>
  <si>
    <t>038014</t>
  </si>
  <si>
    <t>038015</t>
  </si>
  <si>
    <t>6300</t>
  </si>
  <si>
    <t>038016</t>
  </si>
  <si>
    <t>038017</t>
  </si>
  <si>
    <t>7000</t>
  </si>
  <si>
    <t>038018</t>
  </si>
  <si>
    <t>038019</t>
  </si>
  <si>
    <t>V</t>
  </si>
  <si>
    <t>Omega</t>
  </si>
  <si>
    <t>Tapa</t>
  </si>
  <si>
    <t>Tipo</t>
  </si>
  <si>
    <t>Divisor de Cubiculo</t>
  </si>
  <si>
    <t xml:space="preserve">Frente Muerto </t>
  </si>
  <si>
    <t>Complementos</t>
  </si>
  <si>
    <t xml:space="preserve">Cant. </t>
  </si>
  <si>
    <t>Tipo 1
MiniBreaker</t>
  </si>
  <si>
    <t>Tipo 2
Horizontal</t>
  </si>
  <si>
    <t>Tipo 3
Vertical</t>
  </si>
  <si>
    <t>Tipo 4
MasterPact</t>
  </si>
  <si>
    <t>Horizontal
 - Vertical</t>
  </si>
  <si>
    <t>Integrada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</si>
</sst>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Titillium Web"/>
      <family val="2"/>
    </font>
    <font>
      <sz val="10"/>
      <color theme="1"/>
      <name val="Titillium Web"/>
    </font>
    <font>
      <b/>
      <sz val="12"/>
      <color theme="0"/>
      <name val="Conthrax Bold"/>
      <family val="2"/>
    </font>
    <font>
      <b/>
      <sz val="11"/>
      <color theme="1"/>
      <name val="Titillium Web"/>
    </font>
    <font>
      <b/>
      <sz val="11"/>
      <color theme="1"/>
      <name val="Conthrax Bold"/>
      <family val="2"/>
    </font>
    <font>
      <b/>
      <sz val="8"/>
      <color theme="0"/>
      <name val="Conthrax Bold"/>
      <family val="2"/>
    </font>
    <font>
      <b/>
      <sz val="10"/>
      <color theme="0"/>
      <name val="Conthrax Bold"/>
      <family val="2"/>
    </font>
    <font>
      <sz val="8"/>
      <color theme="0"/>
      <name val="Conthrax Bold"/>
      <family val="2"/>
    </font>
    <font>
      <b/>
      <sz val="8"/>
      <color theme="0"/>
      <name val="Titillium Web"/>
    </font>
    <font>
      <b/>
      <sz val="12"/>
      <color rgb="FF000000"/>
      <name val="Titillium Web"/>
    </font>
    <font>
      <b/>
      <sz val="11"/>
      <color rgb="FF000000"/>
      <name val="Titillium Web"/>
    </font>
    <font>
      <sz val="12"/>
      <color theme="1"/>
      <name val="Titillium Web"/>
    </font>
    <font>
      <sz val="12"/>
      <color rgb="FF000000"/>
      <name val="Titillium Web"/>
    </font>
    <font>
      <sz val="11"/>
      <color theme="1"/>
      <name val="Titillium Web"/>
    </font>
    <font>
      <b/>
      <sz val="12"/>
      <color theme="1"/>
      <name val="Titillium Web"/>
    </font>
    <font>
      <sz val="10"/>
      <color theme="1"/>
      <name val="Titillium Web"/>
      <family val="2"/>
    </font>
    <font>
      <sz val="11"/>
      <color theme="0"/>
      <name val="Titillium Web"/>
    </font>
    <font>
      <sz val="12"/>
      <color theme="0"/>
      <name val="Titillium Web"/>
    </font>
    <font>
      <sz val="11"/>
      <color theme="1"/>
      <name val="Aptos Narrow"/>
      <family val="2"/>
      <scheme val="minor"/>
    </font>
    <font>
      <sz val="9"/>
      <color theme="1"/>
      <name val="Titillium Web"/>
    </font>
    <font>
      <b/>
      <sz val="9"/>
      <color theme="1"/>
      <name val="Titillium Web"/>
    </font>
    <font>
      <b/>
      <sz val="9"/>
      <color theme="0"/>
      <name val="Titillium Web"/>
    </font>
    <font>
      <b/>
      <sz val="10"/>
      <color theme="1"/>
      <name val="Titillium Web"/>
    </font>
    <font>
      <b/>
      <sz val="9"/>
      <color rgb="FF0065BB"/>
      <name val="Titillium Web"/>
    </font>
    <font>
      <b/>
      <sz val="11"/>
      <color rgb="FF0065BB"/>
      <name val="Titillium Web"/>
    </font>
    <font>
      <b/>
      <sz val="16"/>
      <color rgb="FF0065BB"/>
      <name val="Titillium Web"/>
    </font>
    <font>
      <sz val="16"/>
      <color rgb="FF0065BB"/>
      <name val="Titillium Web"/>
    </font>
    <font>
      <b/>
      <sz val="14"/>
      <color theme="0" tint="-4.9989318521683403E-2"/>
      <name val="Conthrax Bold"/>
      <family val="2"/>
    </font>
    <font>
      <b/>
      <sz val="14"/>
      <color rgb="FF0065BB"/>
      <name val="Titillium Web"/>
    </font>
    <font>
      <sz val="10"/>
      <color theme="0"/>
      <name val="Titillium Web"/>
    </font>
    <font>
      <b/>
      <sz val="6.5"/>
      <color theme="0"/>
      <name val="Titillium Web"/>
    </font>
    <font>
      <b/>
      <sz val="7"/>
      <color theme="0"/>
      <name val="Titillium Web"/>
    </font>
    <font>
      <b/>
      <sz val="10"/>
      <color theme="0"/>
      <name val="Titillium Web"/>
    </font>
    <font>
      <sz val="11"/>
      <color theme="1"/>
      <name val="Conthrax Bold"/>
      <family val="2"/>
    </font>
    <font>
      <sz val="36"/>
      <color rgb="FF0065BB"/>
      <name val="Conthrax Bold"/>
      <family val="2"/>
    </font>
    <font>
      <sz val="11"/>
      <color rgb="FF0065BB"/>
      <name val="Titillium Web"/>
    </font>
    <font>
      <sz val="6"/>
      <color theme="0"/>
      <name val="Titillium Web"/>
    </font>
    <font>
      <b/>
      <sz val="12"/>
      <color rgb="FF646464"/>
      <name val="Titillium Web"/>
    </font>
    <font>
      <b/>
      <sz val="14"/>
      <color rgb="FF0065BB"/>
      <name val="Conthrax Bold"/>
      <family val="2"/>
    </font>
    <font>
      <b/>
      <sz val="16"/>
      <color rgb="FF0065BB"/>
      <name val="Conthrax Bold"/>
      <family val="2"/>
    </font>
    <font>
      <sz val="6"/>
      <color theme="1"/>
      <name val="Titillium Web"/>
    </font>
    <font>
      <b/>
      <sz val="9"/>
      <color rgb="FF0065BB"/>
      <name val="Conthrax Bold"/>
      <family val="2"/>
    </font>
    <font>
      <b/>
      <sz val="10"/>
      <color rgb="FF0065BB"/>
      <name val="Titillium Web"/>
    </font>
    <font>
      <sz val="8"/>
      <name val="Titillium Web"/>
      <family val="2"/>
    </font>
    <font>
      <sz val="6"/>
      <color theme="0" tint="-4.9989318521683403E-2"/>
      <name val="Titillium Web"/>
    </font>
    <font>
      <sz val="6"/>
      <color rgb="FF8F8F8F"/>
      <name val="Titillium Web"/>
    </font>
    <font>
      <sz val="11"/>
      <color theme="0"/>
      <name val="Conthrax Bold"/>
      <family val="2"/>
    </font>
    <font>
      <b/>
      <sz val="11"/>
      <color theme="0"/>
      <name val="Conthrax Bold"/>
      <family val="2"/>
    </font>
    <font>
      <b/>
      <sz val="11"/>
      <color theme="0"/>
      <name val="Titillium Web"/>
    </font>
    <font>
      <b/>
      <sz val="12"/>
      <color theme="1"/>
      <name val="Conthrax Bold"/>
      <family val="2"/>
    </font>
    <font>
      <b/>
      <sz val="8"/>
      <color rgb="FF0065BB"/>
      <name val="Conthrax Bold"/>
      <family val="2"/>
    </font>
    <font>
      <sz val="7"/>
      <color theme="1"/>
      <name val="Titillium Web"/>
    </font>
    <font>
      <b/>
      <sz val="6"/>
      <color theme="0"/>
      <name val="Titillium Web"/>
    </font>
    <font>
      <b/>
      <sz val="11"/>
      <color theme="0" tint="-0.499984740745262"/>
      <name val="Titillium Web"/>
    </font>
    <font>
      <sz val="11"/>
      <color theme="1" tint="0.499984740745262"/>
      <name val="Titillium Web"/>
      <family val="2"/>
    </font>
    <font>
      <sz val="6"/>
      <color theme="2"/>
      <name val="Titillium Web"/>
    </font>
    <font>
      <b/>
      <sz val="12"/>
      <color theme="0"/>
      <name val="Titillium Web"/>
    </font>
    <font>
      <b/>
      <sz val="8"/>
      <color rgb="FF7030A0"/>
      <name val="Conthrax Bold"/>
      <family val="2"/>
    </font>
    <font>
      <sz val="12"/>
      <color theme="1"/>
      <name val="Conthrax Bold"/>
      <family val="2"/>
    </font>
    <font>
      <b/>
      <sz val="11"/>
      <color rgb="FF0070C0"/>
      <name val="Titillium Web"/>
      <family val="2"/>
    </font>
    <font>
      <b/>
      <sz val="8"/>
      <color rgb="FF0070C0"/>
      <name val="Titillium Web"/>
      <family val="2"/>
    </font>
    <font>
      <b/>
      <sz val="10"/>
      <color rgb="FF7030A0"/>
      <name val="Conthrax Bold"/>
      <family val="2"/>
    </font>
    <font>
      <b/>
      <sz val="11"/>
      <color rgb="FFC00000"/>
      <name val="Titillium Web"/>
    </font>
    <font>
      <b/>
      <sz val="8"/>
      <color rgb="FFC00000"/>
      <name val="Conthrax Bold"/>
      <family val="2"/>
    </font>
    <font>
      <b/>
      <sz val="8"/>
      <color rgb="FF0070C0"/>
      <name val="Conthrax Bold"/>
      <family val="2"/>
    </font>
    <font>
      <b/>
      <sz val="11"/>
      <color rgb="FFC00000"/>
      <name val="Titillium Web"/>
      <family val="2"/>
    </font>
    <font>
      <sz val="10"/>
      <color rgb="FF7030A0"/>
      <name val="Titillium Web"/>
      <family val="2"/>
    </font>
    <font>
      <b/>
      <sz val="5"/>
      <color theme="0"/>
      <name val="Conthrax Bold"/>
      <family val="2"/>
    </font>
    <font>
      <sz val="5"/>
      <color theme="0" tint="-4.9989318521683403E-2"/>
      <name val="Titillium Web"/>
    </font>
    <font>
      <b/>
      <sz val="6"/>
      <color rgb="FF8F8F8F"/>
      <name val="Titillium Web"/>
    </font>
  </fonts>
  <fills count="35">
    <fill>
      <patternFill patternType="none"/>
    </fill>
    <fill>
      <patternFill patternType="gray125"/>
    </fill>
    <fill>
      <patternFill patternType="solid">
        <fgColor rgb="FF0065B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4CF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83">
    <border>
      <left/>
      <right/>
      <top/>
      <bottom/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 tint="-0.14999847407452621"/>
      </right>
      <top style="hair">
        <color theme="0"/>
      </top>
      <bottom style="hair">
        <color theme="0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dotted">
        <color theme="0" tint="-0.14999847407452621"/>
      </left>
      <right/>
      <top/>
      <bottom/>
      <diagonal/>
    </border>
    <border>
      <left/>
      <right style="dotted">
        <color theme="0" tint="-0.14999847407452621"/>
      </right>
      <top/>
      <bottom/>
      <diagonal/>
    </border>
    <border>
      <left style="dotted">
        <color theme="0" tint="-0.14999847407452621"/>
      </left>
      <right style="dotted">
        <color theme="0" tint="-0.14999847407452621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 style="double">
        <color theme="0" tint="-0.249977111117893"/>
      </right>
      <top/>
      <bottom/>
      <diagonal/>
    </border>
    <border>
      <left/>
      <right style="double">
        <color theme="0" tint="-0.249977111117893"/>
      </right>
      <top style="double">
        <color theme="0" tint="-0.3499862666707357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rgb="FF0070C0"/>
      </left>
      <right style="hair">
        <color theme="0" tint="-0.34998626667073579"/>
      </right>
      <top style="medium">
        <color rgb="FF0070C0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rgb="FF0070C0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70C0"/>
      </right>
      <top style="medium">
        <color rgb="FF0070C0"/>
      </top>
      <bottom style="hair">
        <color theme="0" tint="-0.34998626667073579"/>
      </bottom>
      <diagonal/>
    </border>
    <border>
      <left style="medium">
        <color rgb="FF0070C0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0070C0"/>
      </left>
      <right style="hair">
        <color theme="0" tint="-0.34998626667073579"/>
      </right>
      <top style="hair">
        <color theme="0" tint="-0.34998626667073579"/>
      </top>
      <bottom style="medium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rgb="FF0070C0"/>
      </bottom>
      <diagonal/>
    </border>
    <border>
      <left style="hair">
        <color theme="0" tint="-0.34998626667073579"/>
      </left>
      <right style="medium">
        <color rgb="FF0070C0"/>
      </right>
      <top style="hair">
        <color theme="0" tint="-0.34998626667073579"/>
      </top>
      <bottom style="medium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rgb="FFC00000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C00000"/>
      </right>
      <top style="medium">
        <color rgb="FFC00000"/>
      </top>
      <bottom style="hair">
        <color theme="0" tint="-0.34998626667073579"/>
      </bottom>
      <diagonal/>
    </border>
    <border>
      <left style="medium">
        <color rgb="FFC00000"/>
      </left>
      <right/>
      <top/>
      <bottom/>
      <diagonal/>
    </border>
    <border>
      <left style="hair">
        <color theme="0" tint="-0.34998626667073579"/>
      </left>
      <right style="medium">
        <color rgb="FFC00000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rgb="FFC00000"/>
      </bottom>
      <diagonal/>
    </border>
    <border>
      <left style="hair">
        <color theme="0" tint="-0.34998626667073579"/>
      </left>
      <right style="medium">
        <color rgb="FFC00000"/>
      </right>
      <top style="hair">
        <color theme="0" tint="-0.34998626667073579"/>
      </top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medium">
        <color rgb="FF0065BB"/>
      </left>
      <right style="hair">
        <color theme="0" tint="-0.34998626667073579"/>
      </right>
      <top style="medium">
        <color rgb="FF0065BB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rgb="FF0065BB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65BB"/>
      </right>
      <top style="medium">
        <color rgb="FF0065BB"/>
      </top>
      <bottom style="hair">
        <color theme="0" tint="-0.34998626667073579"/>
      </bottom>
      <diagonal/>
    </border>
    <border>
      <left style="medium">
        <color rgb="FF0065BB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65BB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0065BB"/>
      </left>
      <right style="hair">
        <color theme="0" tint="-0.34998626667073579"/>
      </right>
      <top style="hair">
        <color theme="0" tint="-0.34998626667073579"/>
      </top>
      <bottom style="medium">
        <color rgb="FF0065BB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rgb="FF0065BB"/>
      </bottom>
      <diagonal/>
    </border>
    <border>
      <left style="hair">
        <color theme="0" tint="-0.34998626667073579"/>
      </left>
      <right style="medium">
        <color rgb="FF0065BB"/>
      </right>
      <top style="hair">
        <color theme="0" tint="-0.34998626667073579"/>
      </top>
      <bottom style="medium">
        <color rgb="FF0065BB"/>
      </bottom>
      <diagonal/>
    </border>
    <border>
      <left/>
      <right style="hair">
        <color theme="0" tint="-0.34998626667073579"/>
      </right>
      <top style="medium">
        <color rgb="FF0065BB"/>
      </top>
      <bottom style="hair">
        <color theme="0" tint="-0.34998626667073579"/>
      </bottom>
      <diagonal/>
    </border>
    <border>
      <left/>
      <right style="medium">
        <color rgb="FF0065BB"/>
      </right>
      <top style="medium">
        <color rgb="FF0065BB"/>
      </top>
      <bottom style="hair">
        <color theme="0" tint="-0.34998626667073579"/>
      </bottom>
      <diagonal/>
    </border>
    <border>
      <left/>
      <right style="medium">
        <color rgb="FF0065BB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rgb="FF0065BB"/>
      </bottom>
      <diagonal/>
    </border>
    <border>
      <left/>
      <right style="medium">
        <color rgb="FF0065BB"/>
      </right>
      <top style="hair">
        <color theme="0" tint="-0.34998626667073579"/>
      </top>
      <bottom style="medium">
        <color rgb="FF0065BB"/>
      </bottom>
      <diagonal/>
    </border>
    <border>
      <left style="medium">
        <color rgb="FFC00000"/>
      </left>
      <right style="hair">
        <color theme="0" tint="-0.34998626667073579"/>
      </right>
      <top style="medium">
        <color rgb="FFC00000"/>
      </top>
      <bottom style="hair">
        <color theme="0" tint="-0.34998626667073579"/>
      </bottom>
      <diagonal/>
    </border>
    <border>
      <left style="medium">
        <color rgb="FFC00000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C00000"/>
      </left>
      <right style="hair">
        <color theme="0" tint="-0.34998626667073579"/>
      </right>
      <top style="hair">
        <color theme="0" tint="-0.34998626667073579"/>
      </top>
      <bottom style="medium">
        <color rgb="FFC00000"/>
      </bottom>
      <diagonal/>
    </border>
  </borders>
  <cellStyleXfs count="2">
    <xf numFmtId="0" fontId="0" fillId="0" borderId="0"/>
    <xf numFmtId="0" fontId="18" fillId="0" borderId="0"/>
  </cellStyleXfs>
  <cellXfs count="5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vertical="center" wrapText="1"/>
    </xf>
    <xf numFmtId="0" fontId="14" fillId="11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49" fontId="0" fillId="16" borderId="6" xfId="0" applyNumberFormat="1" applyFill="1" applyBorder="1" applyAlignment="1">
      <alignment horizontal="center" vertical="center"/>
    </xf>
    <xf numFmtId="49" fontId="0" fillId="17" borderId="6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49" fontId="0" fillId="18" borderId="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49" fontId="0" fillId="19" borderId="6" xfId="0" applyNumberFormat="1" applyFill="1" applyBorder="1" applyAlignment="1">
      <alignment horizontal="center" vertical="center"/>
    </xf>
    <xf numFmtId="49" fontId="0" fillId="20" borderId="6" xfId="0" applyNumberFormat="1" applyFill="1" applyBorder="1" applyAlignment="1">
      <alignment horizontal="center" vertical="center"/>
    </xf>
    <xf numFmtId="49" fontId="0" fillId="21" borderId="6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49" fontId="16" fillId="22" borderId="12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vertical="center"/>
    </xf>
    <xf numFmtId="49" fontId="0" fillId="0" borderId="13" xfId="0" applyNumberFormat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49" fontId="17" fillId="22" borderId="12" xfId="0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22" fillId="12" borderId="17" xfId="1" applyFont="1" applyFill="1" applyBorder="1" applyAlignment="1">
      <alignment vertical="center"/>
    </xf>
    <xf numFmtId="0" fontId="22" fillId="12" borderId="0" xfId="1" applyFont="1" applyFill="1" applyAlignment="1">
      <alignment vertical="center"/>
    </xf>
    <xf numFmtId="0" fontId="25" fillId="25" borderId="15" xfId="1" applyFont="1" applyFill="1" applyBorder="1" applyAlignment="1">
      <alignment vertical="center"/>
    </xf>
    <xf numFmtId="0" fontId="26" fillId="25" borderId="15" xfId="1" applyFont="1" applyFill="1" applyBorder="1" applyAlignment="1">
      <alignment vertical="center"/>
    </xf>
    <xf numFmtId="0" fontId="31" fillId="12" borderId="0" xfId="1" applyFont="1" applyFill="1" applyAlignment="1">
      <alignment vertical="center" wrapText="1"/>
    </xf>
    <xf numFmtId="0" fontId="30" fillId="12" borderId="0" xfId="1" applyFont="1" applyFill="1" applyAlignment="1">
      <alignment vertical="center" wrapText="1"/>
    </xf>
    <xf numFmtId="0" fontId="30" fillId="12" borderId="17" xfId="1" applyFont="1" applyFill="1" applyBorder="1" applyAlignment="1">
      <alignment vertical="center" wrapText="1"/>
    </xf>
    <xf numFmtId="0" fontId="31" fillId="12" borderId="15" xfId="1" applyFont="1" applyFill="1" applyBorder="1" applyAlignment="1">
      <alignment vertical="center" wrapText="1"/>
    </xf>
    <xf numFmtId="0" fontId="30" fillId="12" borderId="15" xfId="1" applyFont="1" applyFill="1" applyBorder="1" applyAlignment="1">
      <alignment vertical="center" wrapText="1"/>
    </xf>
    <xf numFmtId="0" fontId="30" fillId="12" borderId="14" xfId="1" applyFont="1" applyFill="1" applyBorder="1" applyAlignment="1">
      <alignment vertical="center" wrapText="1"/>
    </xf>
    <xf numFmtId="0" fontId="13" fillId="0" borderId="0" xfId="1" applyFont="1" applyAlignment="1">
      <alignment vertical="center"/>
    </xf>
    <xf numFmtId="0" fontId="33" fillId="24" borderId="20" xfId="1" applyFont="1" applyFill="1" applyBorder="1" applyAlignment="1">
      <alignment vertical="center"/>
    </xf>
    <xf numFmtId="0" fontId="13" fillId="24" borderId="20" xfId="1" applyFont="1" applyFill="1" applyBorder="1" applyAlignment="1">
      <alignment vertical="center"/>
    </xf>
    <xf numFmtId="0" fontId="13" fillId="24" borderId="19" xfId="1" applyFont="1" applyFill="1" applyBorder="1" applyAlignment="1">
      <alignment vertical="center"/>
    </xf>
    <xf numFmtId="0" fontId="33" fillId="24" borderId="0" xfId="1" applyFont="1" applyFill="1" applyAlignment="1">
      <alignment vertical="center"/>
    </xf>
    <xf numFmtId="0" fontId="13" fillId="24" borderId="0" xfId="1" applyFont="1" applyFill="1" applyAlignment="1">
      <alignment vertical="center"/>
    </xf>
    <xf numFmtId="0" fontId="13" fillId="24" borderId="17" xfId="1" applyFont="1" applyFill="1" applyBorder="1" applyAlignment="1">
      <alignment vertical="center"/>
    </xf>
    <xf numFmtId="0" fontId="33" fillId="24" borderId="15" xfId="1" applyFont="1" applyFill="1" applyBorder="1" applyAlignment="1">
      <alignment vertical="center"/>
    </xf>
    <xf numFmtId="0" fontId="13" fillId="24" borderId="15" xfId="1" applyFont="1" applyFill="1" applyBorder="1" applyAlignment="1">
      <alignment vertical="center"/>
    </xf>
    <xf numFmtId="0" fontId="13" fillId="24" borderId="14" xfId="1" applyFont="1" applyFill="1" applyBorder="1" applyAlignment="1">
      <alignment vertical="center"/>
    </xf>
    <xf numFmtId="0" fontId="13" fillId="2" borderId="20" xfId="1" applyFont="1" applyFill="1" applyBorder="1" applyAlignment="1">
      <alignment vertical="center"/>
    </xf>
    <xf numFmtId="0" fontId="13" fillId="2" borderId="19" xfId="1" applyFont="1" applyFill="1" applyBorder="1" applyAlignment="1">
      <alignment vertical="center"/>
    </xf>
    <xf numFmtId="0" fontId="13" fillId="2" borderId="0" xfId="1" applyFont="1" applyFill="1" applyAlignment="1">
      <alignment vertical="center"/>
    </xf>
    <xf numFmtId="0" fontId="13" fillId="2" borderId="17" xfId="1" applyFont="1" applyFill="1" applyBorder="1" applyAlignment="1">
      <alignment vertical="center"/>
    </xf>
    <xf numFmtId="0" fontId="13" fillId="2" borderId="15" xfId="1" applyFont="1" applyFill="1" applyBorder="1" applyAlignment="1">
      <alignment vertical="center"/>
    </xf>
    <xf numFmtId="0" fontId="13" fillId="2" borderId="14" xfId="1" applyFont="1" applyFill="1" applyBorder="1" applyAlignment="1">
      <alignment vertical="center"/>
    </xf>
    <xf numFmtId="0" fontId="13" fillId="25" borderId="18" xfId="1" applyFont="1" applyFill="1" applyBorder="1" applyAlignment="1">
      <alignment vertical="center"/>
    </xf>
    <xf numFmtId="0" fontId="13" fillId="25" borderId="0" xfId="1" applyFont="1" applyFill="1" applyAlignment="1">
      <alignment vertical="center"/>
    </xf>
    <xf numFmtId="0" fontId="13" fillId="25" borderId="20" xfId="1" applyFont="1" applyFill="1" applyBorder="1" applyAlignment="1">
      <alignment vertical="center"/>
    </xf>
    <xf numFmtId="0" fontId="13" fillId="25" borderId="19" xfId="1" applyFont="1" applyFill="1" applyBorder="1" applyAlignment="1">
      <alignment vertical="center"/>
    </xf>
    <xf numFmtId="0" fontId="13" fillId="25" borderId="14" xfId="1" applyFont="1" applyFill="1" applyBorder="1" applyAlignment="1">
      <alignment vertical="center"/>
    </xf>
    <xf numFmtId="0" fontId="13" fillId="12" borderId="0" xfId="1" applyFont="1" applyFill="1" applyAlignment="1">
      <alignment vertical="center"/>
    </xf>
    <xf numFmtId="0" fontId="13" fillId="12" borderId="17" xfId="1" applyFont="1" applyFill="1" applyBorder="1" applyAlignment="1">
      <alignment vertical="center"/>
    </xf>
    <xf numFmtId="0" fontId="13" fillId="12" borderId="18" xfId="1" applyFont="1" applyFill="1" applyBorder="1" applyAlignment="1">
      <alignment vertical="center"/>
    </xf>
    <xf numFmtId="0" fontId="19" fillId="12" borderId="0" xfId="1" applyFont="1" applyFill="1" applyAlignment="1">
      <alignment vertical="center"/>
    </xf>
    <xf numFmtId="0" fontId="19" fillId="12" borderId="0" xfId="1" applyFont="1" applyFill="1" applyAlignment="1">
      <alignment vertical="center" wrapText="1"/>
    </xf>
    <xf numFmtId="0" fontId="19" fillId="12" borderId="20" xfId="1" applyFont="1" applyFill="1" applyBorder="1" applyAlignment="1">
      <alignment vertical="center"/>
    </xf>
    <xf numFmtId="0" fontId="19" fillId="12" borderId="20" xfId="1" applyFont="1" applyFill="1" applyBorder="1" applyAlignment="1">
      <alignment vertical="center" wrapText="1"/>
    </xf>
    <xf numFmtId="0" fontId="13" fillId="12" borderId="16" xfId="1" applyFont="1" applyFill="1" applyBorder="1" applyAlignment="1">
      <alignment vertical="center"/>
    </xf>
    <xf numFmtId="0" fontId="13" fillId="12" borderId="15" xfId="1" applyFont="1" applyFill="1" applyBorder="1" applyAlignment="1">
      <alignment vertical="center"/>
    </xf>
    <xf numFmtId="0" fontId="13" fillId="12" borderId="14" xfId="1" applyFont="1" applyFill="1" applyBorder="1" applyAlignment="1">
      <alignment vertical="center"/>
    </xf>
    <xf numFmtId="0" fontId="19" fillId="12" borderId="15" xfId="1" applyFont="1" applyFill="1" applyBorder="1" applyAlignment="1">
      <alignment vertical="center"/>
    </xf>
    <xf numFmtId="0" fontId="19" fillId="12" borderId="15" xfId="1" applyFont="1" applyFill="1" applyBorder="1" applyAlignment="1">
      <alignment vertical="center" wrapText="1"/>
    </xf>
    <xf numFmtId="0" fontId="19" fillId="0" borderId="0" xfId="1" applyFont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6" fillId="0" borderId="0" xfId="1" applyFont="1" applyAlignment="1">
      <alignment vertical="center"/>
    </xf>
    <xf numFmtId="0" fontId="37" fillId="12" borderId="19" xfId="1" applyFont="1" applyFill="1" applyBorder="1" applyAlignment="1">
      <alignment vertical="center"/>
    </xf>
    <xf numFmtId="0" fontId="37" fillId="12" borderId="17" xfId="1" applyFont="1" applyFill="1" applyBorder="1" applyAlignment="1">
      <alignment vertical="center"/>
    </xf>
    <xf numFmtId="0" fontId="37" fillId="12" borderId="21" xfId="1" applyFont="1" applyFill="1" applyBorder="1" applyAlignment="1">
      <alignment vertical="center"/>
    </xf>
    <xf numFmtId="0" fontId="37" fillId="12" borderId="20" xfId="1" applyFont="1" applyFill="1" applyBorder="1" applyAlignment="1">
      <alignment vertical="center"/>
    </xf>
    <xf numFmtId="0" fontId="37" fillId="12" borderId="18" xfId="1" applyFont="1" applyFill="1" applyBorder="1" applyAlignment="1">
      <alignment vertical="center"/>
    </xf>
    <xf numFmtId="0" fontId="37" fillId="12" borderId="0" xfId="1" applyFont="1" applyFill="1" applyAlignment="1">
      <alignment vertical="center"/>
    </xf>
    <xf numFmtId="0" fontId="13" fillId="24" borderId="0" xfId="1" applyFont="1" applyFill="1" applyAlignment="1">
      <alignment horizontal="center" vertical="center"/>
    </xf>
    <xf numFmtId="49" fontId="11" fillId="8" borderId="33" xfId="0" applyNumberFormat="1" applyFont="1" applyFill="1" applyBorder="1" applyAlignment="1">
      <alignment horizontal="center" vertical="center" wrapText="1"/>
    </xf>
    <xf numFmtId="49" fontId="17" fillId="27" borderId="33" xfId="0" applyNumberFormat="1" applyFont="1" applyFill="1" applyBorder="1" applyAlignment="1">
      <alignment horizontal="center" vertical="center" wrapText="1"/>
    </xf>
    <xf numFmtId="0" fontId="16" fillId="24" borderId="0" xfId="1" applyFont="1" applyFill="1" applyAlignment="1">
      <alignment vertical="center"/>
    </xf>
    <xf numFmtId="0" fontId="35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12" borderId="20" xfId="1" applyFont="1" applyFill="1" applyBorder="1" applyAlignment="1">
      <alignment horizontal="center" vertical="center"/>
    </xf>
    <xf numFmtId="0" fontId="13" fillId="12" borderId="0" xfId="1" applyFont="1" applyFill="1" applyAlignment="1">
      <alignment horizontal="center" vertical="center"/>
    </xf>
    <xf numFmtId="0" fontId="13" fillId="12" borderId="15" xfId="1" applyFont="1" applyFill="1" applyBorder="1" applyAlignment="1">
      <alignment horizontal="center" vertical="center"/>
    </xf>
    <xf numFmtId="0" fontId="19" fillId="24" borderId="0" xfId="1" applyFont="1" applyFill="1" applyAlignment="1">
      <alignment vertical="center" wrapText="1"/>
    </xf>
    <xf numFmtId="0" fontId="13" fillId="0" borderId="45" xfId="1" applyFont="1" applyBorder="1" applyAlignment="1">
      <alignment vertical="center"/>
    </xf>
    <xf numFmtId="0" fontId="13" fillId="0" borderId="44" xfId="1" applyFont="1" applyBorder="1" applyAlignment="1">
      <alignment vertical="center"/>
    </xf>
    <xf numFmtId="0" fontId="13" fillId="0" borderId="27" xfId="1" applyFont="1" applyBorder="1" applyAlignment="1">
      <alignment vertical="center"/>
    </xf>
    <xf numFmtId="0" fontId="13" fillId="0" borderId="26" xfId="1" applyFont="1" applyBorder="1" applyAlignment="1">
      <alignment vertical="center"/>
    </xf>
    <xf numFmtId="0" fontId="13" fillId="0" borderId="25" xfId="1" applyFont="1" applyBorder="1" applyAlignment="1">
      <alignment vertical="center"/>
    </xf>
    <xf numFmtId="0" fontId="19" fillId="24" borderId="45" xfId="1" applyFont="1" applyFill="1" applyBorder="1" applyAlignment="1">
      <alignment vertical="center" wrapText="1"/>
    </xf>
    <xf numFmtId="0" fontId="51" fillId="12" borderId="20" xfId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12" borderId="0" xfId="1" applyFont="1" applyFill="1" applyAlignment="1">
      <alignment horizontal="center" vertical="center"/>
    </xf>
    <xf numFmtId="0" fontId="40" fillId="12" borderId="17" xfId="1" applyFont="1" applyFill="1" applyBorder="1" applyAlignment="1">
      <alignment horizontal="center" vertical="center"/>
    </xf>
    <xf numFmtId="0" fontId="13" fillId="25" borderId="20" xfId="1" applyFont="1" applyFill="1" applyBorder="1" applyAlignment="1">
      <alignment horizontal="right" vertical="center"/>
    </xf>
    <xf numFmtId="0" fontId="13" fillId="12" borderId="0" xfId="1" applyFont="1" applyFill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48" fillId="27" borderId="0" xfId="0" applyFont="1" applyFill="1" applyAlignment="1">
      <alignment horizontal="center" vertical="center"/>
    </xf>
    <xf numFmtId="0" fontId="48" fillId="26" borderId="0" xfId="0" applyFont="1" applyFill="1" applyAlignment="1">
      <alignment horizontal="center" vertical="center"/>
    </xf>
    <xf numFmtId="0" fontId="48" fillId="29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3" fillId="25" borderId="20" xfId="1" applyFont="1" applyFill="1" applyBorder="1" applyAlignment="1">
      <alignment horizontal="center" vertical="center"/>
    </xf>
    <xf numFmtId="0" fontId="13" fillId="25" borderId="15" xfId="1" applyFont="1" applyFill="1" applyBorder="1" applyAlignment="1">
      <alignment horizontal="center" vertical="center"/>
    </xf>
    <xf numFmtId="0" fontId="16" fillId="12" borderId="0" xfId="1" applyFont="1" applyFill="1" applyAlignment="1">
      <alignment horizontal="center" vertical="center"/>
    </xf>
    <xf numFmtId="0" fontId="44" fillId="12" borderId="0" xfId="1" applyFont="1" applyFill="1" applyAlignment="1">
      <alignment horizontal="center" vertical="center"/>
    </xf>
    <xf numFmtId="0" fontId="13" fillId="24" borderId="20" xfId="1" applyFont="1" applyFill="1" applyBorder="1" applyAlignment="1">
      <alignment horizontal="center" vertical="center"/>
    </xf>
    <xf numFmtId="0" fontId="13" fillId="24" borderId="15" xfId="1" applyFont="1" applyFill="1" applyBorder="1" applyAlignment="1">
      <alignment horizontal="center" vertical="center"/>
    </xf>
    <xf numFmtId="0" fontId="26" fillId="25" borderId="15" xfId="1" applyFont="1" applyFill="1" applyBorder="1" applyAlignment="1">
      <alignment horizontal="center" vertical="center"/>
    </xf>
    <xf numFmtId="0" fontId="35" fillId="12" borderId="20" xfId="1" applyFont="1" applyFill="1" applyBorder="1" applyAlignment="1">
      <alignment horizontal="center" vertical="center"/>
    </xf>
    <xf numFmtId="0" fontId="13" fillId="12" borderId="17" xfId="1" applyFont="1" applyFill="1" applyBorder="1" applyAlignment="1">
      <alignment horizontal="center" vertical="center"/>
    </xf>
    <xf numFmtId="0" fontId="35" fillId="12" borderId="0" xfId="1" applyFont="1" applyFill="1" applyAlignment="1">
      <alignment horizontal="center" vertical="center"/>
    </xf>
    <xf numFmtId="0" fontId="13" fillId="12" borderId="19" xfId="1" applyFont="1" applyFill="1" applyBorder="1" applyAlignment="1">
      <alignment horizontal="center" vertical="center"/>
    </xf>
    <xf numFmtId="0" fontId="13" fillId="12" borderId="14" xfId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0" fontId="55" fillId="12" borderId="0" xfId="1" applyFont="1" applyFill="1" applyAlignment="1">
      <alignment horizontal="center" vertical="center"/>
    </xf>
    <xf numFmtId="0" fontId="55" fillId="12" borderId="17" xfId="1" applyFont="1" applyFill="1" applyBorder="1" applyAlignment="1">
      <alignment horizontal="center" vertical="center"/>
    </xf>
    <xf numFmtId="0" fontId="13" fillId="25" borderId="15" xfId="1" applyFont="1" applyFill="1" applyBorder="1" applyAlignment="1">
      <alignment horizontal="right" vertical="center"/>
    </xf>
    <xf numFmtId="0" fontId="51" fillId="12" borderId="20" xfId="1" applyFont="1" applyFill="1" applyBorder="1" applyAlignment="1">
      <alignment horizontal="right" vertical="center"/>
    </xf>
    <xf numFmtId="0" fontId="51" fillId="12" borderId="0" xfId="1" applyFont="1" applyFill="1" applyAlignment="1">
      <alignment horizontal="right" vertical="center"/>
    </xf>
    <xf numFmtId="0" fontId="55" fillId="12" borderId="17" xfId="1" applyFont="1" applyFill="1" applyBorder="1" applyAlignment="1">
      <alignment horizontal="right" vertical="center"/>
    </xf>
    <xf numFmtId="49" fontId="49" fillId="30" borderId="45" xfId="0" applyNumberFormat="1" applyFont="1" applyFill="1" applyBorder="1" applyAlignment="1">
      <alignment vertical="center"/>
    </xf>
    <xf numFmtId="49" fontId="49" fillId="30" borderId="0" xfId="0" applyNumberFormat="1" applyFont="1" applyFill="1" applyAlignment="1">
      <alignment vertical="center"/>
    </xf>
    <xf numFmtId="49" fontId="56" fillId="30" borderId="46" xfId="0" applyNumberFormat="1" applyFont="1" applyFill="1" applyBorder="1" applyAlignment="1">
      <alignment horizontal="center" vertical="center"/>
    </xf>
    <xf numFmtId="49" fontId="56" fillId="26" borderId="46" xfId="0" applyNumberFormat="1" applyFont="1" applyFill="1" applyBorder="1" applyAlignment="1">
      <alignment horizontal="center" vertical="center"/>
    </xf>
    <xf numFmtId="0" fontId="57" fillId="28" borderId="46" xfId="0" applyFont="1" applyFill="1" applyBorder="1" applyAlignment="1">
      <alignment horizontal="center" vertical="center" wrapText="1"/>
    </xf>
    <xf numFmtId="0" fontId="56" fillId="28" borderId="46" xfId="0" applyFont="1" applyFill="1" applyBorder="1" applyAlignment="1">
      <alignment horizontal="center" vertical="center" wrapText="1"/>
    </xf>
    <xf numFmtId="49" fontId="56" fillId="31" borderId="46" xfId="0" applyNumberFormat="1" applyFont="1" applyFill="1" applyBorder="1" applyAlignment="1">
      <alignment horizontal="center" vertical="center"/>
    </xf>
    <xf numFmtId="0" fontId="57" fillId="32" borderId="46" xfId="0" applyFont="1" applyFill="1" applyBorder="1" applyAlignment="1">
      <alignment horizontal="center" vertical="center" wrapText="1"/>
    </xf>
    <xf numFmtId="0" fontId="14" fillId="32" borderId="46" xfId="0" applyFont="1" applyFill="1" applyBorder="1" applyAlignment="1">
      <alignment horizontal="center" vertical="center" wrapText="1"/>
    </xf>
    <xf numFmtId="49" fontId="59" fillId="8" borderId="48" xfId="0" applyNumberFormat="1" applyFont="1" applyFill="1" applyBorder="1" applyAlignment="1">
      <alignment horizontal="center" vertical="center"/>
    </xf>
    <xf numFmtId="49" fontId="60" fillId="8" borderId="48" xfId="0" applyNumberFormat="1" applyFont="1" applyFill="1" applyBorder="1" applyAlignment="1">
      <alignment horizontal="center" vertical="center"/>
    </xf>
    <xf numFmtId="49" fontId="61" fillId="8" borderId="48" xfId="0" applyNumberFormat="1" applyFont="1" applyFill="1" applyBorder="1" applyAlignment="1">
      <alignment horizontal="center" vertical="center"/>
    </xf>
    <xf numFmtId="0" fontId="0" fillId="8" borderId="48" xfId="0" applyFill="1" applyBorder="1" applyAlignment="1">
      <alignment horizontal="center"/>
    </xf>
    <xf numFmtId="49" fontId="62" fillId="24" borderId="48" xfId="0" applyNumberFormat="1" applyFont="1" applyFill="1" applyBorder="1" applyAlignment="1">
      <alignment horizontal="center" vertical="center"/>
    </xf>
    <xf numFmtId="49" fontId="63" fillId="24" borderId="48" xfId="0" applyNumberFormat="1" applyFont="1" applyFill="1" applyBorder="1" applyAlignment="1">
      <alignment horizontal="center" vertical="center"/>
    </xf>
    <xf numFmtId="49" fontId="61" fillId="0" borderId="48" xfId="0" applyNumberFormat="1" applyFont="1" applyBorder="1" applyAlignment="1">
      <alignment horizontal="center" vertical="center"/>
    </xf>
    <xf numFmtId="49" fontId="50" fillId="0" borderId="48" xfId="0" applyNumberFormat="1" applyFont="1" applyBorder="1" applyAlignment="1">
      <alignment horizontal="center" vertical="center"/>
    </xf>
    <xf numFmtId="49" fontId="50" fillId="0" borderId="49" xfId="0" applyNumberFormat="1" applyFont="1" applyBorder="1" applyAlignment="1">
      <alignment horizontal="center" vertical="center"/>
    </xf>
    <xf numFmtId="49" fontId="59" fillId="8" borderId="12" xfId="0" applyNumberFormat="1" applyFont="1" applyFill="1" applyBorder="1" applyAlignment="1">
      <alignment horizontal="center" vertical="center"/>
    </xf>
    <xf numFmtId="49" fontId="60" fillId="8" borderId="12" xfId="0" applyNumberFormat="1" applyFont="1" applyFill="1" applyBorder="1" applyAlignment="1">
      <alignment horizontal="center" vertical="center"/>
    </xf>
    <xf numFmtId="49" fontId="61" fillId="8" borderId="12" xfId="0" applyNumberFormat="1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/>
    </xf>
    <xf numFmtId="49" fontId="62" fillId="24" borderId="12" xfId="0" applyNumberFormat="1" applyFont="1" applyFill="1" applyBorder="1" applyAlignment="1">
      <alignment horizontal="center" vertical="center"/>
    </xf>
    <xf numFmtId="49" fontId="63" fillId="24" borderId="12" xfId="0" applyNumberFormat="1" applyFont="1" applyFill="1" applyBorder="1" applyAlignment="1">
      <alignment horizontal="center" vertical="center"/>
    </xf>
    <xf numFmtId="49" fontId="61" fillId="0" borderId="12" xfId="0" applyNumberFormat="1" applyFont="1" applyBorder="1" applyAlignment="1">
      <alignment horizontal="center" vertical="center"/>
    </xf>
    <xf numFmtId="49" fontId="50" fillId="0" borderId="12" xfId="0" applyNumberFormat="1" applyFont="1" applyBorder="1" applyAlignment="1">
      <alignment horizontal="center" vertical="center"/>
    </xf>
    <xf numFmtId="49" fontId="59" fillId="8" borderId="53" xfId="0" applyNumberFormat="1" applyFont="1" applyFill="1" applyBorder="1" applyAlignment="1">
      <alignment horizontal="center" vertical="center"/>
    </xf>
    <xf numFmtId="49" fontId="60" fillId="8" borderId="53" xfId="0" applyNumberFormat="1" applyFont="1" applyFill="1" applyBorder="1" applyAlignment="1">
      <alignment horizontal="center" vertical="center"/>
    </xf>
    <xf numFmtId="49" fontId="61" fillId="8" borderId="53" xfId="0" applyNumberFormat="1" applyFont="1" applyFill="1" applyBorder="1" applyAlignment="1">
      <alignment horizontal="center" vertical="center"/>
    </xf>
    <xf numFmtId="0" fontId="0" fillId="8" borderId="53" xfId="0" applyFill="1" applyBorder="1" applyAlignment="1">
      <alignment horizontal="center"/>
    </xf>
    <xf numFmtId="49" fontId="62" fillId="24" borderId="53" xfId="0" applyNumberFormat="1" applyFont="1" applyFill="1" applyBorder="1" applyAlignment="1">
      <alignment horizontal="center" vertical="center"/>
    </xf>
    <xf numFmtId="49" fontId="63" fillId="24" borderId="53" xfId="0" applyNumberFormat="1" applyFont="1" applyFill="1" applyBorder="1" applyAlignment="1">
      <alignment horizontal="center" vertical="center"/>
    </xf>
    <xf numFmtId="49" fontId="61" fillId="0" borderId="53" xfId="0" applyNumberFormat="1" applyFont="1" applyBorder="1" applyAlignment="1">
      <alignment horizontal="center" vertical="center"/>
    </xf>
    <xf numFmtId="49" fontId="50" fillId="0" borderId="53" xfId="0" applyNumberFormat="1" applyFont="1" applyBorder="1" applyAlignment="1">
      <alignment horizontal="center" vertical="center"/>
    </xf>
    <xf numFmtId="49" fontId="50" fillId="0" borderId="54" xfId="0" applyNumberFormat="1" applyFont="1" applyBorder="1" applyAlignment="1">
      <alignment horizontal="center" vertical="center"/>
    </xf>
    <xf numFmtId="49" fontId="59" fillId="24" borderId="55" xfId="0" applyNumberFormat="1" applyFont="1" applyFill="1" applyBorder="1" applyAlignment="1">
      <alignment horizontal="center" vertical="center"/>
    </xf>
    <xf numFmtId="49" fontId="64" fillId="24" borderId="55" xfId="0" applyNumberFormat="1" applyFont="1" applyFill="1" applyBorder="1" applyAlignment="1">
      <alignment horizontal="center" vertical="center"/>
    </xf>
    <xf numFmtId="49" fontId="61" fillId="0" borderId="55" xfId="0" applyNumberFormat="1" applyFont="1" applyBorder="1" applyAlignment="1">
      <alignment horizontal="center" vertical="center"/>
    </xf>
    <xf numFmtId="49" fontId="50" fillId="0" borderId="55" xfId="0" applyNumberFormat="1" applyFont="1" applyBorder="1" applyAlignment="1">
      <alignment horizontal="center" vertical="center"/>
    </xf>
    <xf numFmtId="49" fontId="62" fillId="8" borderId="55" xfId="0" applyNumberFormat="1" applyFont="1" applyFill="1" applyBorder="1" applyAlignment="1">
      <alignment horizontal="center" vertical="center"/>
    </xf>
    <xf numFmtId="49" fontId="63" fillId="8" borderId="55" xfId="0" applyNumberFormat="1" applyFont="1" applyFill="1" applyBorder="1" applyAlignment="1">
      <alignment horizontal="center" vertical="center"/>
    </xf>
    <xf numFmtId="49" fontId="61" fillId="8" borderId="55" xfId="0" applyNumberFormat="1" applyFont="1" applyFill="1" applyBorder="1" applyAlignment="1">
      <alignment horizontal="center" vertical="center"/>
    </xf>
    <xf numFmtId="49" fontId="50" fillId="8" borderId="55" xfId="0" applyNumberFormat="1" applyFont="1" applyFill="1" applyBorder="1" applyAlignment="1">
      <alignment horizontal="center" vertical="center"/>
    </xf>
    <xf numFmtId="49" fontId="59" fillId="24" borderId="12" xfId="0" applyNumberFormat="1" applyFont="1" applyFill="1" applyBorder="1" applyAlignment="1">
      <alignment horizontal="center" vertical="center"/>
    </xf>
    <xf numFmtId="49" fontId="64" fillId="24" borderId="12" xfId="0" applyNumberFormat="1" applyFont="1" applyFill="1" applyBorder="1" applyAlignment="1">
      <alignment horizontal="center" vertical="center"/>
    </xf>
    <xf numFmtId="49" fontId="62" fillId="8" borderId="12" xfId="0" applyNumberFormat="1" applyFont="1" applyFill="1" applyBorder="1" applyAlignment="1">
      <alignment horizontal="center" vertical="center"/>
    </xf>
    <xf numFmtId="49" fontId="63" fillId="8" borderId="12" xfId="0" applyNumberFormat="1" applyFont="1" applyFill="1" applyBorder="1" applyAlignment="1">
      <alignment horizontal="center" vertical="center"/>
    </xf>
    <xf numFmtId="49" fontId="50" fillId="8" borderId="12" xfId="0" applyNumberFormat="1" applyFont="1" applyFill="1" applyBorder="1" applyAlignment="1">
      <alignment horizontal="center" vertical="center"/>
    </xf>
    <xf numFmtId="49" fontId="64" fillId="8" borderId="12" xfId="0" applyNumberFormat="1" applyFont="1" applyFill="1" applyBorder="1" applyAlignment="1">
      <alignment horizontal="center" vertical="center"/>
    </xf>
    <xf numFmtId="49" fontId="65" fillId="8" borderId="12" xfId="0" applyNumberFormat="1" applyFont="1" applyFill="1" applyBorder="1" applyAlignment="1">
      <alignment horizontal="center" vertical="center"/>
    </xf>
    <xf numFmtId="49" fontId="66" fillId="8" borderId="12" xfId="0" applyNumberFormat="1" applyFont="1" applyFill="1" applyBorder="1" applyAlignment="1">
      <alignment horizontal="center" vertical="center"/>
    </xf>
    <xf numFmtId="49" fontId="0" fillId="8" borderId="12" xfId="0" applyNumberFormat="1" applyFill="1" applyBorder="1" applyAlignment="1">
      <alignment horizontal="center" vertical="center"/>
    </xf>
    <xf numFmtId="49" fontId="65" fillId="24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59" fillId="8" borderId="46" xfId="0" applyNumberFormat="1" applyFont="1" applyFill="1" applyBorder="1" applyAlignment="1">
      <alignment horizontal="center" vertical="center"/>
    </xf>
    <xf numFmtId="49" fontId="64" fillId="8" borderId="46" xfId="0" applyNumberFormat="1" applyFont="1" applyFill="1" applyBorder="1" applyAlignment="1">
      <alignment horizontal="center" vertical="center"/>
    </xf>
    <xf numFmtId="49" fontId="66" fillId="8" borderId="46" xfId="0" applyNumberFormat="1" applyFont="1" applyFill="1" applyBorder="1" applyAlignment="1">
      <alignment horizontal="center" vertical="center"/>
    </xf>
    <xf numFmtId="49" fontId="0" fillId="8" borderId="46" xfId="0" applyNumberFormat="1" applyFill="1" applyBorder="1" applyAlignment="1">
      <alignment horizontal="center" vertical="center"/>
    </xf>
    <xf numFmtId="49" fontId="62" fillId="24" borderId="46" xfId="0" applyNumberFormat="1" applyFont="1" applyFill="1" applyBorder="1" applyAlignment="1">
      <alignment horizontal="center" vertical="center"/>
    </xf>
    <xf numFmtId="49" fontId="65" fillId="24" borderId="46" xfId="0" applyNumberFormat="1" applyFont="1" applyFill="1" applyBorder="1" applyAlignment="1">
      <alignment horizontal="center" vertical="center"/>
    </xf>
    <xf numFmtId="49" fontId="66" fillId="0" borderId="46" xfId="0" applyNumberFormat="1" applyFon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59" fillId="24" borderId="58" xfId="0" applyNumberFormat="1" applyFont="1" applyFill="1" applyBorder="1" applyAlignment="1">
      <alignment horizontal="center" vertical="center"/>
    </xf>
    <xf numFmtId="49" fontId="64" fillId="24" borderId="58" xfId="0" applyNumberFormat="1" applyFont="1" applyFill="1" applyBorder="1" applyAlignment="1">
      <alignment horizontal="center" vertical="center"/>
    </xf>
    <xf numFmtId="49" fontId="61" fillId="0" borderId="58" xfId="0" applyNumberFormat="1" applyFont="1" applyBorder="1" applyAlignment="1">
      <alignment horizontal="center" vertical="center"/>
    </xf>
    <xf numFmtId="49" fontId="0" fillId="0" borderId="58" xfId="0" applyNumberFormat="1" applyBorder="1" applyAlignment="1">
      <alignment horizontal="center" vertical="center"/>
    </xf>
    <xf numFmtId="49" fontId="65" fillId="8" borderId="58" xfId="0" applyNumberFormat="1" applyFont="1" applyFill="1" applyBorder="1" applyAlignment="1">
      <alignment horizontal="center" vertical="center"/>
    </xf>
    <xf numFmtId="49" fontId="66" fillId="8" borderId="58" xfId="0" applyNumberFormat="1" applyFont="1" applyFill="1" applyBorder="1" applyAlignment="1">
      <alignment horizontal="center" vertical="center"/>
    </xf>
    <xf numFmtId="49" fontId="0" fillId="8" borderId="58" xfId="0" applyNumberFormat="1" applyFill="1" applyBorder="1" applyAlignment="1">
      <alignment horizontal="center" vertical="center"/>
    </xf>
    <xf numFmtId="49" fontId="0" fillId="8" borderId="59" xfId="0" applyNumberFormat="1" applyFill="1" applyBorder="1" applyAlignment="1">
      <alignment horizontal="center" vertical="center"/>
    </xf>
    <xf numFmtId="49" fontId="0" fillId="8" borderId="61" xfId="0" applyNumberFormat="1" applyFill="1" applyBorder="1" applyAlignment="1">
      <alignment horizontal="center" vertical="center"/>
    </xf>
    <xf numFmtId="49" fontId="0" fillId="0" borderId="61" xfId="0" applyNumberFormat="1" applyBorder="1" applyAlignment="1">
      <alignment horizontal="center" vertical="center"/>
    </xf>
    <xf numFmtId="49" fontId="59" fillId="24" borderId="63" xfId="0" applyNumberFormat="1" applyFont="1" applyFill="1" applyBorder="1" applyAlignment="1">
      <alignment horizontal="center" vertical="center"/>
    </xf>
    <xf numFmtId="49" fontId="64" fillId="24" borderId="63" xfId="0" applyNumberFormat="1" applyFont="1" applyFill="1" applyBorder="1" applyAlignment="1">
      <alignment horizontal="center" vertical="center"/>
    </xf>
    <xf numFmtId="49" fontId="66" fillId="0" borderId="63" xfId="0" applyNumberFormat="1" applyFont="1" applyBorder="1" applyAlignment="1">
      <alignment horizontal="center" vertical="center"/>
    </xf>
    <xf numFmtId="49" fontId="0" fillId="0" borderId="63" xfId="0" applyNumberFormat="1" applyBorder="1" applyAlignment="1">
      <alignment horizontal="center" vertical="center"/>
    </xf>
    <xf numFmtId="49" fontId="65" fillId="8" borderId="63" xfId="0" applyNumberFormat="1" applyFont="1" applyFill="1" applyBorder="1" applyAlignment="1">
      <alignment horizontal="center" vertical="center"/>
    </xf>
    <xf numFmtId="49" fontId="66" fillId="8" borderId="63" xfId="0" applyNumberFormat="1" applyFont="1" applyFill="1" applyBorder="1" applyAlignment="1">
      <alignment horizontal="center" vertical="center"/>
    </xf>
    <xf numFmtId="49" fontId="0" fillId="8" borderId="63" xfId="0" applyNumberFormat="1" applyFill="1" applyBorder="1" applyAlignment="1">
      <alignment horizontal="center" vertical="center"/>
    </xf>
    <xf numFmtId="49" fontId="0" fillId="8" borderId="64" xfId="0" applyNumberFormat="1" applyFill="1" applyBorder="1" applyAlignment="1">
      <alignment horizontal="center" vertical="center"/>
    </xf>
    <xf numFmtId="0" fontId="3" fillId="8" borderId="55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8" borderId="58" xfId="0" applyFont="1" applyFill="1" applyBorder="1" applyAlignment="1">
      <alignment horizontal="center" vertical="center"/>
    </xf>
    <xf numFmtId="0" fontId="3" fillId="8" borderId="6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8" borderId="80" xfId="0" applyFont="1" applyFill="1" applyBorder="1" applyAlignment="1">
      <alignment horizontal="center" vertical="center"/>
    </xf>
    <xf numFmtId="0" fontId="3" fillId="8" borderId="59" xfId="0" applyFont="1" applyFill="1" applyBorder="1" applyAlignment="1">
      <alignment horizontal="center" vertical="center"/>
    </xf>
    <xf numFmtId="0" fontId="3" fillId="8" borderId="81" xfId="0" applyFont="1" applyFill="1" applyBorder="1" applyAlignment="1">
      <alignment horizontal="center" vertical="center"/>
    </xf>
    <xf numFmtId="0" fontId="3" fillId="8" borderId="61" xfId="0" applyFont="1" applyFill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8" borderId="82" xfId="0" applyFont="1" applyFill="1" applyBorder="1" applyAlignment="1">
      <alignment horizontal="center" vertical="center"/>
    </xf>
    <xf numFmtId="0" fontId="3" fillId="8" borderId="64" xfId="0" applyFont="1" applyFill="1" applyBorder="1" applyAlignment="1">
      <alignment horizontal="center" vertical="center"/>
    </xf>
    <xf numFmtId="49" fontId="62" fillId="8" borderId="80" xfId="0" applyNumberFormat="1" applyFont="1" applyFill="1" applyBorder="1" applyAlignment="1">
      <alignment horizontal="center" vertical="center"/>
    </xf>
    <xf numFmtId="49" fontId="62" fillId="8" borderId="81" xfId="0" applyNumberFormat="1" applyFont="1" applyFill="1" applyBorder="1" applyAlignment="1">
      <alignment horizontal="center" vertical="center"/>
    </xf>
    <xf numFmtId="49" fontId="62" fillId="24" borderId="81" xfId="0" applyNumberFormat="1" applyFont="1" applyFill="1" applyBorder="1" applyAlignment="1">
      <alignment horizontal="center" vertical="center"/>
    </xf>
    <xf numFmtId="49" fontId="62" fillId="8" borderId="82" xfId="0" applyNumberFormat="1" applyFont="1" applyFill="1" applyBorder="1" applyAlignment="1">
      <alignment horizontal="center" vertical="center"/>
    </xf>
    <xf numFmtId="49" fontId="0" fillId="0" borderId="59" xfId="0" applyNumberFormat="1" applyBorder="1" applyAlignment="1">
      <alignment horizontal="center" vertical="center"/>
    </xf>
    <xf numFmtId="49" fontId="0" fillId="0" borderId="64" xfId="0" applyNumberFormat="1" applyBorder="1" applyAlignment="1">
      <alignment horizontal="center" vertical="center"/>
    </xf>
    <xf numFmtId="49" fontId="50" fillId="0" borderId="12" xfId="0" applyNumberFormat="1" applyFont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50" fillId="8" borderId="12" xfId="0" applyNumberFormat="1" applyFont="1" applyFill="1" applyBorder="1" applyAlignment="1">
      <alignment horizontal="center" vertical="center"/>
    </xf>
    <xf numFmtId="49" fontId="2" fillId="30" borderId="30" xfId="0" applyNumberFormat="1" applyFont="1" applyFill="1" applyBorder="1" applyAlignment="1">
      <alignment horizontal="center" vertical="center"/>
    </xf>
    <xf numFmtId="49" fontId="2" fillId="30" borderId="29" xfId="0" applyNumberFormat="1" applyFont="1" applyFill="1" applyBorder="1" applyAlignment="1">
      <alignment horizontal="center" vertical="center"/>
    </xf>
    <xf numFmtId="49" fontId="2" fillId="30" borderId="28" xfId="0" applyNumberFormat="1" applyFont="1" applyFill="1" applyBorder="1" applyAlignment="1">
      <alignment horizontal="center" vertical="center"/>
    </xf>
    <xf numFmtId="49" fontId="2" fillId="26" borderId="12" xfId="0" applyNumberFormat="1" applyFont="1" applyFill="1" applyBorder="1" applyAlignment="1">
      <alignment horizontal="center" vertical="center"/>
    </xf>
    <xf numFmtId="49" fontId="2" fillId="31" borderId="12" xfId="0" applyNumberFormat="1" applyFont="1" applyFill="1" applyBorder="1" applyAlignment="1">
      <alignment horizontal="center" vertical="center"/>
    </xf>
    <xf numFmtId="49" fontId="58" fillId="33" borderId="45" xfId="0" applyNumberFormat="1" applyFont="1" applyFill="1" applyBorder="1" applyAlignment="1">
      <alignment horizontal="center" vertical="center" textRotation="90"/>
    </xf>
    <xf numFmtId="49" fontId="58" fillId="33" borderId="0" xfId="0" applyNumberFormat="1" applyFont="1" applyFill="1" applyAlignment="1">
      <alignment horizontal="center" vertical="center" textRotation="90"/>
    </xf>
    <xf numFmtId="49" fontId="58" fillId="33" borderId="27" xfId="0" applyNumberFormat="1" applyFont="1" applyFill="1" applyBorder="1" applyAlignment="1">
      <alignment horizontal="center" vertical="center" textRotation="90"/>
    </xf>
    <xf numFmtId="49" fontId="58" fillId="33" borderId="26" xfId="0" applyNumberFormat="1" applyFont="1" applyFill="1" applyBorder="1" applyAlignment="1">
      <alignment horizontal="center" vertical="center" textRotation="90"/>
    </xf>
    <xf numFmtId="49" fontId="3" fillId="0" borderId="47" xfId="0" applyNumberFormat="1" applyFont="1" applyBorder="1" applyAlignment="1">
      <alignment horizontal="center" vertical="center"/>
    </xf>
    <xf numFmtId="49" fontId="3" fillId="0" borderId="50" xfId="0" applyNumberFormat="1" applyFont="1" applyBorder="1" applyAlignment="1">
      <alignment horizontal="center" vertical="center"/>
    </xf>
    <xf numFmtId="49" fontId="3" fillId="0" borderId="52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53" xfId="0" applyNumberFormat="1" applyFont="1" applyBorder="1" applyAlignment="1">
      <alignment horizontal="center" vertical="center"/>
    </xf>
    <xf numFmtId="49" fontId="3" fillId="8" borderId="55" xfId="0" applyNumberFormat="1" applyFont="1" applyFill="1" applyBorder="1" applyAlignment="1">
      <alignment horizontal="center" vertical="center"/>
    </xf>
    <xf numFmtId="49" fontId="50" fillId="0" borderId="51" xfId="0" applyNumberFormat="1" applyFont="1" applyBorder="1" applyAlignment="1">
      <alignment horizontal="center" vertical="center"/>
    </xf>
    <xf numFmtId="49" fontId="2" fillId="34" borderId="57" xfId="0" applyNumberFormat="1" applyFont="1" applyFill="1" applyBorder="1" applyAlignment="1">
      <alignment horizontal="center" vertical="center" textRotation="90"/>
    </xf>
    <xf numFmtId="49" fontId="2" fillId="34" borderId="65" xfId="0" applyNumberFormat="1" applyFont="1" applyFill="1" applyBorder="1" applyAlignment="1">
      <alignment horizontal="center" vertical="center" textRotation="90"/>
    </xf>
    <xf numFmtId="49" fontId="2" fillId="34" borderId="60" xfId="0" applyNumberFormat="1" applyFont="1" applyFill="1" applyBorder="1" applyAlignment="1">
      <alignment horizontal="center" vertical="center" textRotation="90"/>
    </xf>
    <xf numFmtId="49" fontId="2" fillId="34" borderId="0" xfId="0" applyNumberFormat="1" applyFont="1" applyFill="1" applyAlignment="1">
      <alignment horizontal="center" vertical="center" textRotation="90"/>
    </xf>
    <xf numFmtId="49" fontId="2" fillId="34" borderId="62" xfId="0" applyNumberFormat="1" applyFont="1" applyFill="1" applyBorder="1" applyAlignment="1">
      <alignment horizontal="center" vertical="center" textRotation="90"/>
    </xf>
    <xf numFmtId="49" fontId="2" fillId="34" borderId="66" xfId="0" applyNumberFormat="1" applyFont="1" applyFill="1" applyBorder="1" applyAlignment="1">
      <alignment horizontal="center" vertical="center" textRotation="90"/>
    </xf>
    <xf numFmtId="49" fontId="3" fillId="8" borderId="80" xfId="0" applyNumberFormat="1" applyFont="1" applyFill="1" applyBorder="1" applyAlignment="1">
      <alignment horizontal="center" vertical="center"/>
    </xf>
    <xf numFmtId="49" fontId="3" fillId="8" borderId="81" xfId="0" applyNumberFormat="1" applyFont="1" applyFill="1" applyBorder="1" applyAlignment="1">
      <alignment horizontal="center" vertical="center"/>
    </xf>
    <xf numFmtId="49" fontId="3" fillId="8" borderId="58" xfId="0" applyNumberFormat="1" applyFont="1" applyFill="1" applyBorder="1" applyAlignment="1">
      <alignment horizontal="center" vertical="center"/>
    </xf>
    <xf numFmtId="49" fontId="3" fillId="0" borderId="81" xfId="0" applyNumberFormat="1" applyFont="1" applyBorder="1" applyAlignment="1">
      <alignment horizontal="center" vertical="center"/>
    </xf>
    <xf numFmtId="49" fontId="3" fillId="8" borderId="82" xfId="0" applyNumberFormat="1" applyFont="1" applyFill="1" applyBorder="1" applyAlignment="1">
      <alignment horizontal="center" vertical="center"/>
    </xf>
    <xf numFmtId="49" fontId="3" fillId="8" borderId="63" xfId="0" applyNumberFormat="1" applyFont="1" applyFill="1" applyBorder="1" applyAlignment="1">
      <alignment horizontal="center" vertical="center"/>
    </xf>
    <xf numFmtId="49" fontId="58" fillId="33" borderId="29" xfId="0" applyNumberFormat="1" applyFont="1" applyFill="1" applyBorder="1" applyAlignment="1">
      <alignment horizontal="center" vertical="center" textRotation="90"/>
    </xf>
    <xf numFmtId="49" fontId="58" fillId="19" borderId="46" xfId="0" applyNumberFormat="1" applyFont="1" applyFill="1" applyBorder="1" applyAlignment="1">
      <alignment horizontal="center" vertical="center" textRotation="90"/>
    </xf>
    <xf numFmtId="49" fontId="58" fillId="19" borderId="56" xfId="0" applyNumberFormat="1" applyFont="1" applyFill="1" applyBorder="1" applyAlignment="1">
      <alignment horizontal="center" vertical="center" textRotation="90"/>
    </xf>
    <xf numFmtId="49" fontId="58" fillId="19" borderId="55" xfId="0" applyNumberFormat="1" applyFont="1" applyFill="1" applyBorder="1" applyAlignment="1">
      <alignment horizontal="center" vertical="center" textRotation="90"/>
    </xf>
    <xf numFmtId="49" fontId="58" fillId="19" borderId="30" xfId="0" applyNumberFormat="1" applyFont="1" applyFill="1" applyBorder="1" applyAlignment="1">
      <alignment horizontal="center" vertical="center" textRotation="90"/>
    </xf>
    <xf numFmtId="49" fontId="58" fillId="19" borderId="28" xfId="0" applyNumberFormat="1" applyFont="1" applyFill="1" applyBorder="1" applyAlignment="1">
      <alignment horizontal="center" vertical="center" textRotation="90"/>
    </xf>
    <xf numFmtId="49" fontId="58" fillId="19" borderId="45" xfId="0" applyNumberFormat="1" applyFont="1" applyFill="1" applyBorder="1" applyAlignment="1">
      <alignment horizontal="center" vertical="center" textRotation="90"/>
    </xf>
    <xf numFmtId="49" fontId="58" fillId="19" borderId="44" xfId="0" applyNumberFormat="1" applyFont="1" applyFill="1" applyBorder="1" applyAlignment="1">
      <alignment horizontal="center" vertical="center" textRotation="90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48" fillId="28" borderId="0" xfId="0" applyFont="1" applyFill="1" applyAlignment="1">
      <alignment horizontal="center" vertical="center"/>
    </xf>
    <xf numFmtId="0" fontId="48" fillId="27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27" fillId="2" borderId="20" xfId="1" applyFont="1" applyFill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27" fillId="2" borderId="15" xfId="1" applyFont="1" applyFill="1" applyBorder="1" applyAlignment="1">
      <alignment horizontal="center" vertical="center"/>
    </xf>
    <xf numFmtId="0" fontId="38" fillId="12" borderId="0" xfId="1" applyFont="1" applyFill="1" applyAlignment="1">
      <alignment horizontal="center" vertical="center" wrapText="1"/>
    </xf>
    <xf numFmtId="0" fontId="34" fillId="24" borderId="21" xfId="1" applyFont="1" applyFill="1" applyBorder="1" applyAlignment="1">
      <alignment horizontal="left" vertical="center" indent="1"/>
    </xf>
    <xf numFmtId="0" fontId="34" fillId="24" borderId="20" xfId="1" applyFont="1" applyFill="1" applyBorder="1" applyAlignment="1">
      <alignment horizontal="left" vertical="center" indent="1"/>
    </xf>
    <xf numFmtId="0" fontId="34" fillId="24" borderId="18" xfId="1" applyFont="1" applyFill="1" applyBorder="1" applyAlignment="1">
      <alignment horizontal="left" vertical="center" indent="1"/>
    </xf>
    <xf numFmtId="0" fontId="34" fillId="24" borderId="0" xfId="1" applyFont="1" applyFill="1" applyAlignment="1">
      <alignment horizontal="left" vertical="center" indent="1"/>
    </xf>
    <xf numFmtId="0" fontId="34" fillId="24" borderId="16" xfId="1" applyFont="1" applyFill="1" applyBorder="1" applyAlignment="1">
      <alignment horizontal="left" vertical="center" indent="1"/>
    </xf>
    <xf numFmtId="0" fontId="34" fillId="24" borderId="15" xfId="1" applyFont="1" applyFill="1" applyBorder="1" applyAlignment="1">
      <alignment horizontal="left" vertical="center" indent="1"/>
    </xf>
    <xf numFmtId="0" fontId="13" fillId="24" borderId="0" xfId="1" applyFont="1" applyFill="1" applyAlignment="1">
      <alignment horizontal="center" vertical="center"/>
    </xf>
    <xf numFmtId="0" fontId="28" fillId="24" borderId="0" xfId="1" applyFont="1" applyFill="1" applyAlignment="1">
      <alignment horizontal="left" vertical="center"/>
    </xf>
    <xf numFmtId="0" fontId="27" fillId="25" borderId="21" xfId="1" applyFont="1" applyFill="1" applyBorder="1" applyAlignment="1">
      <alignment horizontal="center" vertical="center"/>
    </xf>
    <xf numFmtId="0" fontId="27" fillId="25" borderId="20" xfId="1" applyFont="1" applyFill="1" applyBorder="1" applyAlignment="1">
      <alignment horizontal="center" vertical="center"/>
    </xf>
    <xf numFmtId="0" fontId="27" fillId="25" borderId="32" xfId="1" applyFont="1" applyFill="1" applyBorder="1" applyAlignment="1">
      <alignment horizontal="center" vertical="center"/>
    </xf>
    <xf numFmtId="0" fontId="27" fillId="25" borderId="18" xfId="1" applyFont="1" applyFill="1" applyBorder="1" applyAlignment="1">
      <alignment horizontal="center" vertical="center"/>
    </xf>
    <xf numFmtId="0" fontId="27" fillId="25" borderId="0" xfId="1" applyFont="1" applyFill="1" applyAlignment="1">
      <alignment horizontal="center" vertical="center"/>
    </xf>
    <xf numFmtId="0" fontId="27" fillId="25" borderId="31" xfId="1" applyFont="1" applyFill="1" applyBorder="1" applyAlignment="1">
      <alignment horizontal="center" vertical="center"/>
    </xf>
    <xf numFmtId="0" fontId="13" fillId="12" borderId="21" xfId="1" applyFont="1" applyFill="1" applyBorder="1" applyAlignment="1">
      <alignment horizontal="center" vertical="center"/>
    </xf>
    <xf numFmtId="0" fontId="13" fillId="12" borderId="20" xfId="1" applyFont="1" applyFill="1" applyBorder="1" applyAlignment="1">
      <alignment horizontal="center" vertical="center"/>
    </xf>
    <xf numFmtId="0" fontId="13" fillId="12" borderId="18" xfId="1" applyFont="1" applyFill="1" applyBorder="1" applyAlignment="1">
      <alignment horizontal="center" vertical="center"/>
    </xf>
    <xf numFmtId="0" fontId="13" fillId="12" borderId="0" xfId="1" applyFont="1" applyFill="1" applyAlignment="1">
      <alignment horizontal="center" vertical="center"/>
    </xf>
    <xf numFmtId="0" fontId="13" fillId="12" borderId="16" xfId="1" applyFont="1" applyFill="1" applyBorder="1" applyAlignment="1">
      <alignment horizontal="center" vertical="center"/>
    </xf>
    <xf numFmtId="0" fontId="13" fillId="12" borderId="15" xfId="1" applyFont="1" applyFill="1" applyBorder="1" applyAlignment="1">
      <alignment horizontal="center" vertical="center"/>
    </xf>
    <xf numFmtId="0" fontId="20" fillId="24" borderId="41" xfId="1" applyFont="1" applyFill="1" applyBorder="1" applyAlignment="1">
      <alignment horizontal="center" vertical="center" wrapText="1"/>
    </xf>
    <xf numFmtId="0" fontId="20" fillId="24" borderId="42" xfId="1" applyFont="1" applyFill="1" applyBorder="1" applyAlignment="1">
      <alignment horizontal="center" vertical="center" wrapText="1"/>
    </xf>
    <xf numFmtId="0" fontId="20" fillId="24" borderId="43" xfId="1" applyFont="1" applyFill="1" applyBorder="1" applyAlignment="1">
      <alignment horizontal="center" vertical="center" wrapText="1"/>
    </xf>
    <xf numFmtId="0" fontId="20" fillId="12" borderId="37" xfId="1" applyFont="1" applyFill="1" applyBorder="1" applyAlignment="1">
      <alignment horizontal="center" vertical="center" wrapText="1"/>
    </xf>
    <xf numFmtId="0" fontId="20" fillId="12" borderId="38" xfId="1" applyFont="1" applyFill="1" applyBorder="1" applyAlignment="1">
      <alignment horizontal="center" vertical="center" wrapText="1"/>
    </xf>
    <xf numFmtId="0" fontId="41" fillId="12" borderId="35" xfId="1" applyFont="1" applyFill="1" applyBorder="1" applyAlignment="1">
      <alignment horizontal="center" vertical="center" wrapText="1"/>
    </xf>
    <xf numFmtId="0" fontId="41" fillId="12" borderId="36" xfId="1" applyFont="1" applyFill="1" applyBorder="1" applyAlignment="1">
      <alignment horizontal="center" vertical="center" wrapText="1"/>
    </xf>
    <xf numFmtId="0" fontId="20" fillId="12" borderId="34" xfId="1" applyFont="1" applyFill="1" applyBorder="1" applyAlignment="1">
      <alignment horizontal="center" vertical="center" wrapText="1"/>
    </xf>
    <xf numFmtId="0" fontId="20" fillId="12" borderId="35" xfId="1" applyFont="1" applyFill="1" applyBorder="1" applyAlignment="1">
      <alignment horizontal="center" vertical="center" wrapText="1"/>
    </xf>
    <xf numFmtId="0" fontId="20" fillId="12" borderId="34" xfId="1" applyFont="1" applyFill="1" applyBorder="1" applyAlignment="1">
      <alignment horizontal="left" vertical="center" wrapText="1" indent="1"/>
    </xf>
    <xf numFmtId="0" fontId="20" fillId="12" borderId="35" xfId="1" applyFont="1" applyFill="1" applyBorder="1" applyAlignment="1">
      <alignment horizontal="left" vertical="center" wrapText="1" indent="1"/>
    </xf>
    <xf numFmtId="0" fontId="20" fillId="12" borderId="36" xfId="1" applyFont="1" applyFill="1" applyBorder="1" applyAlignment="1">
      <alignment horizontal="left" vertical="center" wrapText="1" indent="1"/>
    </xf>
    <xf numFmtId="0" fontId="37" fillId="12" borderId="21" xfId="1" applyFont="1" applyFill="1" applyBorder="1" applyAlignment="1">
      <alignment horizontal="center" vertical="center"/>
    </xf>
    <xf numFmtId="0" fontId="37" fillId="12" borderId="20" xfId="1" applyFont="1" applyFill="1" applyBorder="1" applyAlignment="1">
      <alignment horizontal="center" vertical="center"/>
    </xf>
    <xf numFmtId="0" fontId="37" fillId="12" borderId="18" xfId="1" applyFont="1" applyFill="1" applyBorder="1" applyAlignment="1">
      <alignment horizontal="center" vertical="center"/>
    </xf>
    <xf numFmtId="0" fontId="37" fillId="12" borderId="0" xfId="1" applyFont="1" applyFill="1" applyAlignment="1">
      <alignment horizontal="center" vertical="center"/>
    </xf>
    <xf numFmtId="0" fontId="37" fillId="12" borderId="16" xfId="1" applyFont="1" applyFill="1" applyBorder="1" applyAlignment="1">
      <alignment horizontal="center" vertical="center"/>
    </xf>
    <xf numFmtId="0" fontId="37" fillId="12" borderId="15" xfId="1" applyFont="1" applyFill="1" applyBorder="1" applyAlignment="1">
      <alignment horizontal="center" vertical="center"/>
    </xf>
    <xf numFmtId="0" fontId="37" fillId="12" borderId="20" xfId="1" applyFont="1" applyFill="1" applyBorder="1" applyAlignment="1">
      <alignment vertical="center"/>
    </xf>
    <xf numFmtId="0" fontId="37" fillId="12" borderId="19" xfId="1" applyFont="1" applyFill="1" applyBorder="1" applyAlignment="1">
      <alignment vertical="center"/>
    </xf>
    <xf numFmtId="0" fontId="37" fillId="12" borderId="0" xfId="1" applyFont="1" applyFill="1" applyAlignment="1">
      <alignment vertical="center"/>
    </xf>
    <xf numFmtId="0" fontId="37" fillId="12" borderId="17" xfId="1" applyFont="1" applyFill="1" applyBorder="1" applyAlignment="1">
      <alignment vertical="center"/>
    </xf>
    <xf numFmtId="0" fontId="37" fillId="12" borderId="15" xfId="1" applyFont="1" applyFill="1" applyBorder="1" applyAlignment="1">
      <alignment vertical="center"/>
    </xf>
    <xf numFmtId="0" fontId="37" fillId="12" borderId="14" xfId="1" applyFont="1" applyFill="1" applyBorder="1" applyAlignment="1">
      <alignment vertical="center"/>
    </xf>
    <xf numFmtId="0" fontId="38" fillId="12" borderId="21" xfId="1" applyFont="1" applyFill="1" applyBorder="1" applyAlignment="1">
      <alignment horizontal="center" vertical="center" wrapText="1"/>
    </xf>
    <xf numFmtId="0" fontId="38" fillId="12" borderId="20" xfId="1" applyFont="1" applyFill="1" applyBorder="1" applyAlignment="1">
      <alignment horizontal="center" vertical="center" wrapText="1"/>
    </xf>
    <xf numFmtId="0" fontId="38" fillId="12" borderId="18" xfId="1" applyFont="1" applyFill="1" applyBorder="1" applyAlignment="1">
      <alignment horizontal="center" vertical="center" wrapText="1"/>
    </xf>
    <xf numFmtId="0" fontId="38" fillId="12" borderId="16" xfId="1" applyFont="1" applyFill="1" applyBorder="1" applyAlignment="1">
      <alignment horizontal="center" vertical="center" wrapText="1"/>
    </xf>
    <xf numFmtId="0" fontId="38" fillId="12" borderId="15" xfId="1" applyFont="1" applyFill="1" applyBorder="1" applyAlignment="1">
      <alignment horizontal="center" vertical="center" wrapText="1"/>
    </xf>
    <xf numFmtId="0" fontId="39" fillId="12" borderId="20" xfId="1" applyFont="1" applyFill="1" applyBorder="1" applyAlignment="1">
      <alignment horizontal="left" vertical="center" wrapText="1" indent="1"/>
    </xf>
    <xf numFmtId="0" fontId="39" fillId="12" borderId="19" xfId="1" applyFont="1" applyFill="1" applyBorder="1" applyAlignment="1">
      <alignment horizontal="left" vertical="center" wrapText="1" indent="1"/>
    </xf>
    <xf numFmtId="0" fontId="39" fillId="12" borderId="0" xfId="1" applyFont="1" applyFill="1" applyAlignment="1">
      <alignment horizontal="left" vertical="center" wrapText="1" indent="1"/>
    </xf>
    <xf numFmtId="0" fontId="39" fillId="12" borderId="17" xfId="1" applyFont="1" applyFill="1" applyBorder="1" applyAlignment="1">
      <alignment horizontal="left" vertical="center" wrapText="1" indent="1"/>
    </xf>
    <xf numFmtId="0" fontId="39" fillId="12" borderId="15" xfId="1" applyFont="1" applyFill="1" applyBorder="1" applyAlignment="1">
      <alignment horizontal="left" vertical="center" wrapText="1" indent="1"/>
    </xf>
    <xf numFmtId="0" fontId="39" fillId="12" borderId="14" xfId="1" applyFont="1" applyFill="1" applyBorder="1" applyAlignment="1">
      <alignment horizontal="left" vertical="center" wrapText="1" indent="1"/>
    </xf>
    <xf numFmtId="0" fontId="25" fillId="12" borderId="21" xfId="1" applyFont="1" applyFill="1" applyBorder="1" applyAlignment="1">
      <alignment horizontal="center" vertical="center"/>
    </xf>
    <xf numFmtId="0" fontId="25" fillId="12" borderId="20" xfId="1" applyFont="1" applyFill="1" applyBorder="1" applyAlignment="1">
      <alignment horizontal="center" vertical="center"/>
    </xf>
    <xf numFmtId="0" fontId="25" fillId="12" borderId="19" xfId="1" applyFont="1" applyFill="1" applyBorder="1" applyAlignment="1">
      <alignment horizontal="center" vertical="center"/>
    </xf>
    <xf numFmtId="0" fontId="25" fillId="12" borderId="18" xfId="1" applyFont="1" applyFill="1" applyBorder="1" applyAlignment="1">
      <alignment horizontal="center" vertical="center"/>
    </xf>
    <xf numFmtId="0" fontId="25" fillId="12" borderId="0" xfId="1" applyFont="1" applyFill="1" applyAlignment="1">
      <alignment horizontal="center" vertical="center"/>
    </xf>
    <xf numFmtId="0" fontId="25" fillId="12" borderId="17" xfId="1" applyFont="1" applyFill="1" applyBorder="1" applyAlignment="1">
      <alignment horizontal="center" vertical="center"/>
    </xf>
    <xf numFmtId="0" fontId="25" fillId="12" borderId="16" xfId="1" applyFont="1" applyFill="1" applyBorder="1" applyAlignment="1">
      <alignment horizontal="center" vertical="center"/>
    </xf>
    <xf numFmtId="0" fontId="25" fillId="12" borderId="15" xfId="1" applyFont="1" applyFill="1" applyBorder="1" applyAlignment="1">
      <alignment horizontal="center" vertical="center"/>
    </xf>
    <xf numFmtId="0" fontId="25" fillId="12" borderId="14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9" fillId="24" borderId="0" xfId="1" applyFont="1" applyFill="1" applyBorder="1" applyAlignment="1">
      <alignment vertical="center" wrapText="1"/>
    </xf>
    <xf numFmtId="0" fontId="22" fillId="24" borderId="0" xfId="1" applyFont="1" applyFill="1" applyBorder="1" applyAlignment="1">
      <alignment horizontal="center" vertical="center" wrapText="1"/>
    </xf>
    <xf numFmtId="0" fontId="13" fillId="0" borderId="0" xfId="1" applyFont="1" applyBorder="1" applyAlignment="1">
      <alignment vertical="center"/>
    </xf>
    <xf numFmtId="0" fontId="13" fillId="0" borderId="0" xfId="1" applyFont="1" applyBorder="1" applyAlignment="1">
      <alignment horizontal="center" vertical="center"/>
    </xf>
    <xf numFmtId="0" fontId="32" fillId="2" borderId="12" xfId="1" applyFont="1" applyFill="1" applyBorder="1" applyAlignment="1">
      <alignment horizontal="center" vertical="center" wrapText="1"/>
    </xf>
    <xf numFmtId="0" fontId="13" fillId="0" borderId="30" xfId="1" applyFont="1" applyBorder="1" applyAlignment="1">
      <alignment vertical="center"/>
    </xf>
    <xf numFmtId="0" fontId="13" fillId="0" borderId="29" xfId="1" applyFont="1" applyBorder="1" applyAlignment="1">
      <alignment vertical="center"/>
    </xf>
    <xf numFmtId="0" fontId="13" fillId="0" borderId="28" xfId="1" applyFont="1" applyBorder="1" applyAlignment="1">
      <alignment vertical="center"/>
    </xf>
    <xf numFmtId="0" fontId="6" fillId="23" borderId="30" xfId="1" applyFont="1" applyFill="1" applyBorder="1" applyAlignment="1">
      <alignment vertical="center" wrapText="1"/>
    </xf>
    <xf numFmtId="0" fontId="6" fillId="23" borderId="29" xfId="1" applyFont="1" applyFill="1" applyBorder="1" applyAlignment="1">
      <alignment vertical="center" wrapText="1"/>
    </xf>
    <xf numFmtId="0" fontId="52" fillId="23" borderId="44" xfId="1" applyFont="1" applyFill="1" applyBorder="1" applyAlignment="1">
      <alignment horizontal="center" vertical="center"/>
    </xf>
    <xf numFmtId="0" fontId="36" fillId="23" borderId="44" xfId="1" applyFont="1" applyFill="1" applyBorder="1" applyAlignment="1">
      <alignment horizontal="center" vertical="center"/>
    </xf>
    <xf numFmtId="0" fontId="6" fillId="23" borderId="45" xfId="1" applyFont="1" applyFill="1" applyBorder="1" applyAlignment="1">
      <alignment vertical="center" wrapText="1"/>
    </xf>
    <xf numFmtId="0" fontId="36" fillId="23" borderId="45" xfId="1" applyFont="1" applyFill="1" applyBorder="1" applyAlignment="1">
      <alignment horizontal="right" vertical="center"/>
    </xf>
    <xf numFmtId="0" fontId="45" fillId="23" borderId="44" xfId="1" applyFont="1" applyFill="1" applyBorder="1" applyAlignment="1">
      <alignment horizontal="center" vertical="center"/>
    </xf>
    <xf numFmtId="0" fontId="52" fillId="23" borderId="45" xfId="1" applyFont="1" applyFill="1" applyBorder="1" applyAlignment="1">
      <alignment horizontal="right" vertical="center"/>
    </xf>
    <xf numFmtId="0" fontId="29" fillId="23" borderId="44" xfId="1" applyFont="1" applyFill="1" applyBorder="1" applyAlignment="1">
      <alignment horizontal="center" vertical="center" textRotation="90"/>
    </xf>
    <xf numFmtId="0" fontId="52" fillId="23" borderId="27" xfId="1" applyFont="1" applyFill="1" applyBorder="1" applyAlignment="1">
      <alignment horizontal="right" vertical="center"/>
    </xf>
    <xf numFmtId="0" fontId="29" fillId="24" borderId="26" xfId="1" applyFont="1" applyFill="1" applyBorder="1" applyAlignment="1">
      <alignment vertical="center" textRotation="90"/>
    </xf>
    <xf numFmtId="0" fontId="29" fillId="23" borderId="25" xfId="1" applyFont="1" applyFill="1" applyBorder="1" applyAlignment="1">
      <alignment horizontal="center" vertical="center" textRotation="90"/>
    </xf>
    <xf numFmtId="0" fontId="32" fillId="2" borderId="46" xfId="1" applyFont="1" applyFill="1" applyBorder="1" applyAlignment="1">
      <alignment horizontal="center" vertical="center" wrapText="1"/>
    </xf>
    <xf numFmtId="0" fontId="29" fillId="24" borderId="45" xfId="1" applyFont="1" applyFill="1" applyBorder="1" applyAlignment="1">
      <alignment vertical="center" textRotation="90"/>
    </xf>
    <xf numFmtId="0" fontId="29" fillId="24" borderId="27" xfId="1" applyFont="1" applyFill="1" applyBorder="1" applyAlignment="1">
      <alignment vertical="center" textRotation="90"/>
    </xf>
    <xf numFmtId="0" fontId="29" fillId="24" borderId="25" xfId="1" applyFont="1" applyFill="1" applyBorder="1" applyAlignment="1">
      <alignment vertical="center" textRotation="90"/>
    </xf>
    <xf numFmtId="0" fontId="32" fillId="23" borderId="24" xfId="1" applyFont="1" applyFill="1" applyBorder="1" applyAlignment="1">
      <alignment horizontal="center" vertical="center" wrapText="1"/>
    </xf>
    <xf numFmtId="0" fontId="32" fillId="23" borderId="23" xfId="1" applyFont="1" applyFill="1" applyBorder="1" applyAlignment="1">
      <alignment horizontal="center" vertical="center" wrapText="1"/>
    </xf>
    <xf numFmtId="0" fontId="32" fillId="23" borderId="22" xfId="1" applyFont="1" applyFill="1" applyBorder="1" applyAlignment="1">
      <alignment horizontal="center" vertical="center" wrapText="1"/>
    </xf>
    <xf numFmtId="49" fontId="47" fillId="23" borderId="45" xfId="1" applyNumberFormat="1" applyFont="1" applyFill="1" applyBorder="1" applyAlignment="1">
      <alignment horizontal="right" vertical="center" wrapText="1"/>
    </xf>
    <xf numFmtId="49" fontId="47" fillId="23" borderId="0" xfId="1" applyNumberFormat="1" applyFont="1" applyFill="1" applyBorder="1" applyAlignment="1">
      <alignment horizontal="right" vertical="center" wrapText="1"/>
    </xf>
    <xf numFmtId="0" fontId="46" fillId="23" borderId="0" xfId="1" applyFont="1" applyFill="1" applyBorder="1" applyAlignment="1">
      <alignment horizontal="center" vertical="center"/>
    </xf>
    <xf numFmtId="0" fontId="46" fillId="23" borderId="0" xfId="1" applyFont="1" applyFill="1" applyBorder="1" applyAlignment="1">
      <alignment horizontal="left" vertical="center"/>
    </xf>
    <xf numFmtId="0" fontId="13" fillId="0" borderId="45" xfId="1" applyFont="1" applyBorder="1" applyAlignment="1">
      <alignment horizontal="center" vertical="center"/>
    </xf>
    <xf numFmtId="0" fontId="13" fillId="0" borderId="44" xfId="1" applyFont="1" applyBorder="1" applyAlignment="1">
      <alignment horizontal="center" vertical="center"/>
    </xf>
    <xf numFmtId="0" fontId="52" fillId="23" borderId="0" xfId="1" applyFont="1" applyFill="1" applyBorder="1" applyAlignment="1">
      <alignment horizontal="center" vertical="center"/>
    </xf>
    <xf numFmtId="0" fontId="51" fillId="12" borderId="26" xfId="1" applyFont="1" applyFill="1" applyBorder="1" applyAlignment="1">
      <alignment horizontal="right" vertical="center"/>
    </xf>
    <xf numFmtId="0" fontId="40" fillId="12" borderId="45" xfId="1" applyFont="1" applyFill="1" applyBorder="1" applyAlignment="1">
      <alignment horizontal="center" vertical="center"/>
    </xf>
    <xf numFmtId="0" fontId="32" fillId="28" borderId="12" xfId="1" applyFont="1" applyFill="1" applyBorder="1" applyAlignment="1">
      <alignment horizontal="center" vertical="center" wrapText="1"/>
    </xf>
    <xf numFmtId="0" fontId="32" fillId="28" borderId="46" xfId="1" applyFont="1" applyFill="1" applyBorder="1" applyAlignment="1">
      <alignment horizontal="center" vertical="center" wrapText="1"/>
    </xf>
    <xf numFmtId="0" fontId="22" fillId="8" borderId="12" xfId="1" applyFont="1" applyFill="1" applyBorder="1" applyAlignment="1">
      <alignment horizontal="center" vertical="center" wrapText="1"/>
    </xf>
    <xf numFmtId="0" fontId="22" fillId="8" borderId="46" xfId="1" applyFont="1" applyFill="1" applyBorder="1" applyAlignment="1">
      <alignment horizontal="center" vertical="center" wrapText="1"/>
    </xf>
    <xf numFmtId="0" fontId="32" fillId="23" borderId="12" xfId="1" applyFont="1" applyFill="1" applyBorder="1" applyAlignment="1">
      <alignment horizontal="center" vertical="center" wrapText="1"/>
    </xf>
    <xf numFmtId="0" fontId="32" fillId="23" borderId="46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67" fillId="23" borderId="29" xfId="1" applyFont="1" applyFill="1" applyBorder="1" applyAlignment="1">
      <alignment vertical="center"/>
    </xf>
    <xf numFmtId="0" fontId="50" fillId="12" borderId="35" xfId="1" applyFont="1" applyFill="1" applyBorder="1" applyAlignment="1">
      <alignment horizontal="center" vertical="center" wrapText="1"/>
    </xf>
    <xf numFmtId="0" fontId="50" fillId="12" borderId="36" xfId="1" applyFont="1" applyFill="1" applyBorder="1" applyAlignment="1">
      <alignment horizontal="center" vertical="center" wrapText="1"/>
    </xf>
    <xf numFmtId="0" fontId="50" fillId="12" borderId="38" xfId="1" applyFont="1" applyFill="1" applyBorder="1" applyAlignment="1">
      <alignment horizontal="center" vertical="center" wrapText="1"/>
    </xf>
    <xf numFmtId="0" fontId="50" fillId="12" borderId="39" xfId="1" applyFont="1" applyFill="1" applyBorder="1" applyAlignment="1">
      <alignment horizontal="center" vertical="center" wrapText="1"/>
    </xf>
    <xf numFmtId="0" fontId="50" fillId="24" borderId="35" xfId="1" applyFont="1" applyFill="1" applyBorder="1" applyAlignment="1">
      <alignment horizontal="center" vertical="center" wrapText="1"/>
    </xf>
    <xf numFmtId="0" fontId="50" fillId="24" borderId="36" xfId="1" applyFont="1" applyFill="1" applyBorder="1" applyAlignment="1">
      <alignment horizontal="center" vertical="center" wrapText="1"/>
    </xf>
    <xf numFmtId="0" fontId="50" fillId="24" borderId="38" xfId="1" applyFont="1" applyFill="1" applyBorder="1" applyAlignment="1">
      <alignment horizontal="center" vertical="center" wrapText="1"/>
    </xf>
    <xf numFmtId="0" fontId="50" fillId="24" borderId="39" xfId="1" applyFont="1" applyFill="1" applyBorder="1" applyAlignment="1">
      <alignment horizontal="center" vertical="center" wrapText="1"/>
    </xf>
    <xf numFmtId="49" fontId="41" fillId="12" borderId="30" xfId="1" applyNumberFormat="1" applyFont="1" applyFill="1" applyBorder="1" applyAlignment="1">
      <alignment horizontal="right" vertical="center" wrapText="1"/>
    </xf>
    <xf numFmtId="49" fontId="41" fillId="12" borderId="29" xfId="1" applyNumberFormat="1" applyFont="1" applyFill="1" applyBorder="1" applyAlignment="1">
      <alignment horizontal="right" vertical="center" wrapText="1"/>
    </xf>
    <xf numFmtId="49" fontId="41" fillId="12" borderId="29" xfId="1" applyNumberFormat="1" applyFont="1" applyFill="1" applyBorder="1" applyAlignment="1">
      <alignment horizontal="left" vertical="center" wrapText="1"/>
    </xf>
    <xf numFmtId="49" fontId="41" fillId="12" borderId="28" xfId="1" applyNumberFormat="1" applyFont="1" applyFill="1" applyBorder="1" applyAlignment="1">
      <alignment horizontal="left" vertical="center" wrapText="1"/>
    </xf>
    <xf numFmtId="49" fontId="41" fillId="12" borderId="27" xfId="1" applyNumberFormat="1" applyFont="1" applyFill="1" applyBorder="1" applyAlignment="1">
      <alignment horizontal="right" vertical="center" wrapText="1"/>
    </xf>
    <xf numFmtId="49" fontId="41" fillId="12" borderId="26" xfId="1" applyNumberFormat="1" applyFont="1" applyFill="1" applyBorder="1" applyAlignment="1">
      <alignment horizontal="right" vertical="center" wrapText="1"/>
    </xf>
    <xf numFmtId="49" fontId="41" fillId="12" borderId="26" xfId="1" applyNumberFormat="1" applyFont="1" applyFill="1" applyBorder="1" applyAlignment="1">
      <alignment horizontal="left" vertical="center" wrapText="1"/>
    </xf>
    <xf numFmtId="49" fontId="41" fillId="12" borderId="25" xfId="1" applyNumberFormat="1" applyFont="1" applyFill="1" applyBorder="1" applyAlignment="1">
      <alignment horizontal="left" vertical="center" wrapText="1"/>
    </xf>
    <xf numFmtId="0" fontId="41" fillId="24" borderId="30" xfId="1" applyNumberFormat="1" applyFont="1" applyFill="1" applyBorder="1" applyAlignment="1">
      <alignment horizontal="right" vertical="center" wrapText="1"/>
    </xf>
    <xf numFmtId="0" fontId="41" fillId="24" borderId="29" xfId="1" applyNumberFormat="1" applyFont="1" applyFill="1" applyBorder="1" applyAlignment="1">
      <alignment horizontal="right" vertical="center" wrapText="1"/>
    </xf>
    <xf numFmtId="49" fontId="41" fillId="24" borderId="29" xfId="1" applyNumberFormat="1" applyFont="1" applyFill="1" applyBorder="1" applyAlignment="1">
      <alignment horizontal="left" vertical="center" wrapText="1"/>
    </xf>
    <xf numFmtId="49" fontId="41" fillId="24" borderId="28" xfId="1" applyNumberFormat="1" applyFont="1" applyFill="1" applyBorder="1" applyAlignment="1">
      <alignment horizontal="left" vertical="center" wrapText="1"/>
    </xf>
    <xf numFmtId="0" fontId="41" fillId="24" borderId="27" xfId="1" applyNumberFormat="1" applyFont="1" applyFill="1" applyBorder="1" applyAlignment="1">
      <alignment horizontal="right" vertical="center" wrapText="1"/>
    </xf>
    <xf numFmtId="0" fontId="41" fillId="24" borderId="26" xfId="1" applyNumberFormat="1" applyFont="1" applyFill="1" applyBorder="1" applyAlignment="1">
      <alignment horizontal="right" vertical="center" wrapText="1"/>
    </xf>
    <xf numFmtId="49" fontId="41" fillId="24" borderId="26" xfId="1" applyNumberFormat="1" applyFont="1" applyFill="1" applyBorder="1" applyAlignment="1">
      <alignment horizontal="left" vertical="center" wrapText="1"/>
    </xf>
    <xf numFmtId="49" fontId="41" fillId="24" borderId="25" xfId="1" applyNumberFormat="1" applyFont="1" applyFill="1" applyBorder="1" applyAlignment="1">
      <alignment horizontal="left" vertical="center" wrapText="1"/>
    </xf>
    <xf numFmtId="0" fontId="22" fillId="12" borderId="0" xfId="1" applyFont="1" applyFill="1" applyBorder="1" applyAlignment="1">
      <alignment horizontal="center" vertical="center" wrapText="1"/>
    </xf>
    <xf numFmtId="0" fontId="22" fillId="12" borderId="40" xfId="1" applyFont="1" applyFill="1" applyBorder="1" applyAlignment="1">
      <alignment horizontal="center" vertical="center" wrapText="1"/>
    </xf>
    <xf numFmtId="0" fontId="22" fillId="12" borderId="35" xfId="1" applyFont="1" applyFill="1" applyBorder="1" applyAlignment="1">
      <alignment horizontal="center" vertical="center" wrapText="1"/>
    </xf>
    <xf numFmtId="0" fontId="22" fillId="12" borderId="36" xfId="1" applyFont="1" applyFill="1" applyBorder="1" applyAlignment="1">
      <alignment horizontal="center" vertical="center" wrapText="1"/>
    </xf>
    <xf numFmtId="0" fontId="22" fillId="12" borderId="38" xfId="1" applyFont="1" applyFill="1" applyBorder="1" applyAlignment="1">
      <alignment horizontal="center" vertical="center" wrapText="1"/>
    </xf>
    <xf numFmtId="0" fontId="22" fillId="12" borderId="39" xfId="1" applyFont="1" applyFill="1" applyBorder="1" applyAlignment="1">
      <alignment horizontal="center" vertical="center" wrapText="1"/>
    </xf>
    <xf numFmtId="0" fontId="22" fillId="24" borderId="35" xfId="1" applyFont="1" applyFill="1" applyBorder="1" applyAlignment="1">
      <alignment horizontal="center" vertical="center" wrapText="1"/>
    </xf>
    <xf numFmtId="0" fontId="22" fillId="24" borderId="36" xfId="1" applyFont="1" applyFill="1" applyBorder="1" applyAlignment="1">
      <alignment horizontal="center" vertical="center" wrapText="1"/>
    </xf>
    <xf numFmtId="0" fontId="22" fillId="24" borderId="38" xfId="1" applyFont="1" applyFill="1" applyBorder="1" applyAlignment="1">
      <alignment horizontal="center" vertical="center" wrapText="1"/>
    </xf>
    <xf numFmtId="0" fontId="22" fillId="24" borderId="39" xfId="1" applyFont="1" applyFill="1" applyBorder="1" applyAlignment="1">
      <alignment horizontal="center" vertical="center" wrapText="1"/>
    </xf>
    <xf numFmtId="0" fontId="22" fillId="24" borderId="40" xfId="1" applyFont="1" applyFill="1" applyBorder="1" applyAlignment="1">
      <alignment horizontal="center" vertical="center" wrapText="1"/>
    </xf>
    <xf numFmtId="0" fontId="42" fillId="12" borderId="35" xfId="1" applyFont="1" applyFill="1" applyBorder="1" applyAlignment="1">
      <alignment horizontal="center" vertical="center" wrapText="1"/>
    </xf>
    <xf numFmtId="0" fontId="42" fillId="12" borderId="36" xfId="1" applyFont="1" applyFill="1" applyBorder="1" applyAlignment="1">
      <alignment horizontal="center" vertical="center" wrapText="1"/>
    </xf>
    <xf numFmtId="0" fontId="42" fillId="12" borderId="38" xfId="1" applyFont="1" applyFill="1" applyBorder="1" applyAlignment="1">
      <alignment horizontal="center" vertical="center" wrapText="1"/>
    </xf>
    <xf numFmtId="0" fontId="42" fillId="12" borderId="39" xfId="1" applyFont="1" applyFill="1" applyBorder="1" applyAlignment="1">
      <alignment horizontal="center" vertical="center" wrapText="1"/>
    </xf>
    <xf numFmtId="0" fontId="42" fillId="24" borderId="35" xfId="1" applyFont="1" applyFill="1" applyBorder="1" applyAlignment="1">
      <alignment horizontal="center" vertical="center" wrapText="1"/>
    </xf>
    <xf numFmtId="0" fontId="42" fillId="24" borderId="36" xfId="1" applyFont="1" applyFill="1" applyBorder="1" applyAlignment="1">
      <alignment horizontal="center" vertical="center" wrapText="1"/>
    </xf>
    <xf numFmtId="0" fontId="42" fillId="24" borderId="38" xfId="1" applyFont="1" applyFill="1" applyBorder="1" applyAlignment="1">
      <alignment horizontal="center" vertical="center" wrapText="1"/>
    </xf>
    <xf numFmtId="0" fontId="42" fillId="24" borderId="39" xfId="1" applyFont="1" applyFill="1" applyBorder="1" applyAlignment="1">
      <alignment horizontal="center" vertical="center" wrapText="1"/>
    </xf>
    <xf numFmtId="0" fontId="19" fillId="24" borderId="44" xfId="1" applyFont="1" applyFill="1" applyBorder="1" applyAlignment="1">
      <alignment vertical="center" wrapText="1"/>
    </xf>
    <xf numFmtId="0" fontId="50" fillId="12" borderId="34" xfId="1" applyFont="1" applyFill="1" applyBorder="1" applyAlignment="1">
      <alignment horizontal="center" vertical="center" wrapText="1"/>
    </xf>
    <xf numFmtId="0" fontId="50" fillId="12" borderId="37" xfId="1" applyFont="1" applyFill="1" applyBorder="1" applyAlignment="1">
      <alignment horizontal="center" vertical="center" wrapText="1"/>
    </xf>
    <xf numFmtId="0" fontId="50" fillId="12" borderId="34" xfId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0" fillId="12" borderId="37" xfId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2" borderId="34" xfId="1" applyFont="1" applyFill="1" applyBorder="1" applyAlignment="1">
      <alignment horizontal="center" vertical="center" wrapText="1"/>
    </xf>
    <xf numFmtId="0" fontId="22" fillId="12" borderId="37" xfId="1" applyFont="1" applyFill="1" applyBorder="1" applyAlignment="1">
      <alignment horizontal="center" vertical="center" wrapText="1"/>
    </xf>
    <xf numFmtId="0" fontId="22" fillId="24" borderId="34" xfId="1" applyFont="1" applyFill="1" applyBorder="1" applyAlignment="1">
      <alignment horizontal="center" vertical="center" wrapText="1"/>
    </xf>
    <xf numFmtId="0" fontId="50" fillId="24" borderId="34" xfId="1" applyFont="1" applyFill="1" applyBorder="1" applyAlignment="1">
      <alignment horizontal="center" vertical="center" wrapText="1"/>
    </xf>
    <xf numFmtId="0" fontId="50" fillId="24" borderId="34" xfId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24" borderId="37" xfId="1" applyFont="1" applyFill="1" applyBorder="1" applyAlignment="1">
      <alignment horizontal="center" vertical="center" wrapText="1"/>
    </xf>
    <xf numFmtId="0" fontId="50" fillId="24" borderId="37" xfId="1" applyFont="1" applyFill="1" applyBorder="1" applyAlignment="1">
      <alignment horizontal="center" vertical="center" wrapText="1"/>
    </xf>
    <xf numFmtId="0" fontId="50" fillId="24" borderId="37" xfId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12" borderId="0" xfId="1" applyFont="1" applyFill="1" applyAlignment="1">
      <alignment horizontal="center" vertical="center"/>
    </xf>
    <xf numFmtId="0" fontId="45" fillId="23" borderId="45" xfId="1" applyFont="1" applyFill="1" applyBorder="1" applyAlignment="1">
      <alignment horizontal="center" vertical="center"/>
    </xf>
    <xf numFmtId="49" fontId="45" fillId="23" borderId="45" xfId="1" applyNumberFormat="1" applyFont="1" applyFill="1" applyBorder="1" applyAlignment="1">
      <alignment horizontal="right" vertical="center"/>
    </xf>
    <xf numFmtId="0" fontId="45" fillId="23" borderId="45" xfId="1" applyFont="1" applyFill="1" applyBorder="1" applyAlignment="1">
      <alignment horizontal="right" vertical="center"/>
    </xf>
    <xf numFmtId="0" fontId="69" fillId="23" borderId="45" xfId="1" applyFont="1" applyFill="1" applyBorder="1" applyAlignment="1">
      <alignment horizontal="right" vertical="center"/>
    </xf>
  </cellXfs>
  <cellStyles count="2">
    <cellStyle name="Normal" xfId="0" builtinId="0"/>
    <cellStyle name="Normal 2" xfId="1" xr:uid="{0CF614CC-A268-4483-8070-D313E7EEBAE7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tillium Web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tillium Web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tillium Web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tillium Web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F8F8F"/>
      <color rgb="FF006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1.emf"/><Relationship Id="rId1" Type="http://schemas.openxmlformats.org/officeDocument/2006/relationships/image" Target="../media/image20.emf"/><Relationship Id="rId5" Type="http://schemas.openxmlformats.org/officeDocument/2006/relationships/image" Target="../media/image18.emf"/><Relationship Id="rId4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130</xdr:col>
      <xdr:colOff>75891</xdr:colOff>
      <xdr:row>29</xdr:row>
      <xdr:rowOff>41563</xdr:rowOff>
    </xdr:from>
    <xdr:to>
      <xdr:col>164</xdr:col>
      <xdr:colOff>13855</xdr:colOff>
      <xdr:row>61</xdr:row>
      <xdr:rowOff>161463</xdr:rowOff>
    </xdr:to>
    <xdr:grpSp>
      <xdr:nvGrpSpPr>
        <xdr:cNvPr id="2" name="Puertas especiales 1" hidden="1">
          <a:extLst>
            <a:ext uri="{FF2B5EF4-FFF2-40B4-BE49-F238E27FC236}">
              <a16:creationId xmlns:a16="http://schemas.microsoft.com/office/drawing/2014/main" id="{C9B93458-C837-4572-A168-3CC15282E07F}"/>
            </a:ext>
          </a:extLst>
        </xdr:cNvPr>
        <xdr:cNvGrpSpPr/>
      </xdr:nvGrpSpPr>
      <xdr:grpSpPr>
        <a:xfrm>
          <a:off x="16585891" y="5197763"/>
          <a:ext cx="5640264" cy="5809500"/>
          <a:chOff x="17426045" y="5105932"/>
          <a:chExt cx="3923810" cy="5934546"/>
        </a:xfrm>
      </xdr:grpSpPr>
      <xdr:pic>
        <xdr:nvPicPr>
          <xdr:cNvPr id="3" name="Imagen 2" hidden="1">
            <a:extLst>
              <a:ext uri="{FF2B5EF4-FFF2-40B4-BE49-F238E27FC236}">
                <a16:creationId xmlns:a16="http://schemas.microsoft.com/office/drawing/2014/main" id="{5C58E768-C9DA-438B-48F5-BCD3C813EE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426045" y="5105932"/>
            <a:ext cx="3923810" cy="5934546"/>
          </a:xfrm>
          <a:prstGeom prst="rect">
            <a:avLst/>
          </a:prstGeom>
        </xdr:spPr>
      </xdr:pic>
      <xdr:pic macro="[0]!Hoja1.CAMBIOPUERTA_Columna1">
        <xdr:nvPicPr>
          <xdr:cNvPr id="4" name="Remplazar" hidden="1">
            <a:extLst>
              <a:ext uri="{FF2B5EF4-FFF2-40B4-BE49-F238E27FC236}">
                <a16:creationId xmlns:a16="http://schemas.microsoft.com/office/drawing/2014/main" id="{9455310B-5912-8080-69CD-A41E5321ED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666197" y="10469039"/>
            <a:ext cx="1592132" cy="432430"/>
          </a:xfrm>
          <a:prstGeom prst="rect">
            <a:avLst/>
          </a:prstGeom>
        </xdr:spPr>
      </xdr:pic>
      <xdr:pic macro="[0]!menu2puertas">
        <xdr:nvPicPr>
          <xdr:cNvPr id="5" name="sisguente" hidden="1">
            <a:extLst>
              <a:ext uri="{FF2B5EF4-FFF2-40B4-BE49-F238E27FC236}">
                <a16:creationId xmlns:a16="http://schemas.microsoft.com/office/drawing/2014/main" id="{FADCC979-A275-E635-F7A8-4766B25F07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557289" y="10445523"/>
            <a:ext cx="1592131" cy="432430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69" name="CheckBox1" hidden="1">
                <a:extLst>
                  <a:ext uri="{63B3BB69-23CF-44E3-9099-C40C66FF867C}">
                    <a14:compatExt spid="_x0000_s32769"/>
                  </a:ext>
                  <a:ext uri="{FF2B5EF4-FFF2-40B4-BE49-F238E27FC236}">
                    <a16:creationId xmlns:a16="http://schemas.microsoft.com/office/drawing/2014/main" id="{00000000-0008-0000-0800-000001640000}"/>
                  </a:ext>
                </a:extLst>
              </xdr:cNvPr>
              <xdr:cNvSpPr/>
            </xdr:nvSpPr>
            <xdr:spPr bwMode="auto">
              <a:xfrm>
                <a:off x="18926138" y="6104889"/>
                <a:ext cx="141961" cy="14604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0" name="CheckBox2" hidden="1">
                <a:extLst>
                  <a:ext uri="{63B3BB69-23CF-44E3-9099-C40C66FF867C}">
                    <a14:compatExt spid="_x0000_s32770"/>
                  </a:ext>
                  <a:ext uri="{FF2B5EF4-FFF2-40B4-BE49-F238E27FC236}">
                    <a16:creationId xmlns:a16="http://schemas.microsoft.com/office/drawing/2014/main" id="{00000000-0008-0000-0800-000002640000}"/>
                  </a:ext>
                </a:extLst>
              </xdr:cNvPr>
              <xdr:cNvSpPr/>
            </xdr:nvSpPr>
            <xdr:spPr bwMode="auto">
              <a:xfrm>
                <a:off x="18878461" y="7169707"/>
                <a:ext cx="140090" cy="14947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1" name="CheckBox3" hidden="1">
                <a:extLst>
                  <a:ext uri="{63B3BB69-23CF-44E3-9099-C40C66FF867C}">
                    <a14:compatExt spid="_x0000_s32771"/>
                  </a:ext>
                  <a:ext uri="{FF2B5EF4-FFF2-40B4-BE49-F238E27FC236}">
                    <a16:creationId xmlns:a16="http://schemas.microsoft.com/office/drawing/2014/main" id="{00000000-0008-0000-0800-000003640000}"/>
                  </a:ext>
                </a:extLst>
              </xdr:cNvPr>
              <xdr:cNvSpPr/>
            </xdr:nvSpPr>
            <xdr:spPr bwMode="auto">
              <a:xfrm>
                <a:off x="18885750" y="8394182"/>
                <a:ext cx="140090" cy="146818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2" name="CheckBox4" hidden="1">
                <a:extLst>
                  <a:ext uri="{63B3BB69-23CF-44E3-9099-C40C66FF867C}">
                    <a14:compatExt spid="_x0000_s32772"/>
                  </a:ext>
                  <a:ext uri="{FF2B5EF4-FFF2-40B4-BE49-F238E27FC236}">
                    <a16:creationId xmlns:a16="http://schemas.microsoft.com/office/drawing/2014/main" id="{00000000-0008-0000-0800-000004640000}"/>
                  </a:ext>
                </a:extLst>
              </xdr:cNvPr>
              <xdr:cNvSpPr/>
            </xdr:nvSpPr>
            <xdr:spPr bwMode="auto">
              <a:xfrm>
                <a:off x="19003975" y="9607444"/>
                <a:ext cx="140090" cy="13981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130</xdr:col>
      <xdr:colOff>89390</xdr:colOff>
      <xdr:row>29</xdr:row>
      <xdr:rowOff>87469</xdr:rowOff>
    </xdr:from>
    <xdr:to>
      <xdr:col>163</xdr:col>
      <xdr:colOff>89980</xdr:colOff>
      <xdr:row>61</xdr:row>
      <xdr:rowOff>115099</xdr:rowOff>
    </xdr:to>
    <xdr:grpSp>
      <xdr:nvGrpSpPr>
        <xdr:cNvPr id="6" name="Puertas especiales 3" hidden="1">
          <a:extLst>
            <a:ext uri="{FF2B5EF4-FFF2-40B4-BE49-F238E27FC236}">
              <a16:creationId xmlns:a16="http://schemas.microsoft.com/office/drawing/2014/main" id="{DD2B143F-1B93-42D0-82CA-63F8BA50EA71}"/>
            </a:ext>
          </a:extLst>
        </xdr:cNvPr>
        <xdr:cNvGrpSpPr/>
      </xdr:nvGrpSpPr>
      <xdr:grpSpPr>
        <a:xfrm>
          <a:off x="16599390" y="5243669"/>
          <a:ext cx="5575890" cy="5717230"/>
          <a:chOff x="13401805" y="5043437"/>
          <a:chExt cx="3953734" cy="5771938"/>
        </a:xfrm>
      </xdr:grpSpPr>
      <xdr:pic>
        <xdr:nvPicPr>
          <xdr:cNvPr id="7" name="Imagen 6" hidden="1">
            <a:extLst>
              <a:ext uri="{FF2B5EF4-FFF2-40B4-BE49-F238E27FC236}">
                <a16:creationId xmlns:a16="http://schemas.microsoft.com/office/drawing/2014/main" id="{DFEAF989-5873-379E-412F-2CBD47F8B5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3401805" y="5043437"/>
            <a:ext cx="3953734" cy="5771938"/>
          </a:xfrm>
          <a:prstGeom prst="rect">
            <a:avLst/>
          </a:prstGeom>
        </xdr:spPr>
      </xdr:pic>
      <xdr:pic macro="[0]!VOLVERmenu2puertas">
        <xdr:nvPicPr>
          <xdr:cNvPr id="8" name="sisguente" hidden="1">
            <a:extLst>
              <a:ext uri="{FF2B5EF4-FFF2-40B4-BE49-F238E27FC236}">
                <a16:creationId xmlns:a16="http://schemas.microsoft.com/office/drawing/2014/main" id="{EE61D435-3E41-A09F-9215-927C741314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407901" y="10256748"/>
            <a:ext cx="1619169" cy="425199"/>
          </a:xfrm>
          <a:prstGeom prst="rect">
            <a:avLst/>
          </a:prstGeom>
        </xdr:spPr>
      </xdr:pic>
      <xdr:pic macro="[0]!Hoja1.CAMBIOPUERTA_Columna1">
        <xdr:nvPicPr>
          <xdr:cNvPr id="9" name="Imagen 8" hidden="1">
            <a:extLst>
              <a:ext uri="{FF2B5EF4-FFF2-40B4-BE49-F238E27FC236}">
                <a16:creationId xmlns:a16="http://schemas.microsoft.com/office/drawing/2014/main" id="{354B7FC0-2CC7-9008-6392-56B7AF7F22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613004" y="10254343"/>
            <a:ext cx="1619169" cy="425198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3" name="CheckBox9" hidden="1">
                <a:extLst>
                  <a:ext uri="{63B3BB69-23CF-44E3-9099-C40C66FF867C}">
                    <a14:compatExt spid="_x0000_s32773"/>
                  </a:ext>
                  <a:ext uri="{FF2B5EF4-FFF2-40B4-BE49-F238E27FC236}">
                    <a16:creationId xmlns:a16="http://schemas.microsoft.com/office/drawing/2014/main" id="{00000000-0008-0000-0800-000005640000}"/>
                  </a:ext>
                </a:extLst>
              </xdr:cNvPr>
              <xdr:cNvSpPr/>
            </xdr:nvSpPr>
            <xdr:spPr bwMode="auto">
              <a:xfrm>
                <a:off x="15005957" y="6144986"/>
                <a:ext cx="142603" cy="146956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4" name="CheckBox10" hidden="1">
                <a:extLst>
                  <a:ext uri="{63B3BB69-23CF-44E3-9099-C40C66FF867C}">
                    <a14:compatExt spid="_x0000_s32774"/>
                  </a:ext>
                  <a:ext uri="{FF2B5EF4-FFF2-40B4-BE49-F238E27FC236}">
                    <a16:creationId xmlns:a16="http://schemas.microsoft.com/office/drawing/2014/main" id="{00000000-0008-0000-0800-000006640000}"/>
                  </a:ext>
                </a:extLst>
              </xdr:cNvPr>
              <xdr:cNvSpPr/>
            </xdr:nvSpPr>
            <xdr:spPr bwMode="auto">
              <a:xfrm>
                <a:off x="14998337" y="7671163"/>
                <a:ext cx="142603" cy="146956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5" name="CheckBox11" hidden="1">
                <a:extLst>
                  <a:ext uri="{63B3BB69-23CF-44E3-9099-C40C66FF867C}">
                    <a14:compatExt spid="_x0000_s32775"/>
                  </a:ext>
                  <a:ext uri="{FF2B5EF4-FFF2-40B4-BE49-F238E27FC236}">
                    <a16:creationId xmlns:a16="http://schemas.microsoft.com/office/drawing/2014/main" id="{00000000-0008-0000-0800-000007640000}"/>
                  </a:ext>
                </a:extLst>
              </xdr:cNvPr>
              <xdr:cNvSpPr/>
            </xdr:nvSpPr>
            <xdr:spPr bwMode="auto">
              <a:xfrm>
                <a:off x="16952323" y="6114506"/>
                <a:ext cx="142603" cy="14478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6" name="CheckBox12" hidden="1">
                <a:extLst>
                  <a:ext uri="{63B3BB69-23CF-44E3-9099-C40C66FF867C}">
                    <a14:compatExt spid="_x0000_s32776"/>
                  </a:ext>
                  <a:ext uri="{FF2B5EF4-FFF2-40B4-BE49-F238E27FC236}">
                    <a16:creationId xmlns:a16="http://schemas.microsoft.com/office/drawing/2014/main" id="{00000000-0008-0000-0800-000008640000}"/>
                  </a:ext>
                </a:extLst>
              </xdr:cNvPr>
              <xdr:cNvSpPr/>
            </xdr:nvSpPr>
            <xdr:spPr bwMode="auto">
              <a:xfrm>
                <a:off x="16952323" y="7655923"/>
                <a:ext cx="142603" cy="146956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oneCellAnchor>
    <xdr:from>
      <xdr:col>158</xdr:col>
      <xdr:colOff>96983</xdr:colOff>
      <xdr:row>0</xdr:row>
      <xdr:rowOff>0</xdr:rowOff>
    </xdr:from>
    <xdr:ext cx="760785" cy="675526"/>
    <xdr:pic macro="[0]!CambiarZoomEnTodasLasHojas">
      <xdr:nvPicPr>
        <xdr:cNvPr id="10" name="ZOOM">
          <a:extLst>
            <a:ext uri="{FF2B5EF4-FFF2-40B4-BE49-F238E27FC236}">
              <a16:creationId xmlns:a16="http://schemas.microsoft.com/office/drawing/2014/main" id="{CD68135E-1A29-4DCD-A3F7-D6B44FD8C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7933" y="0"/>
          <a:ext cx="760785" cy="675526"/>
        </a:xfrm>
        <a:prstGeom prst="rect">
          <a:avLst/>
        </a:prstGeom>
      </xdr:spPr>
    </xdr:pic>
    <xdr:clientData/>
  </xdr:oneCellAnchor>
  <xdr:oneCellAnchor>
    <xdr:from>
      <xdr:col>155</xdr:col>
      <xdr:colOff>7645</xdr:colOff>
      <xdr:row>0</xdr:row>
      <xdr:rowOff>148339</xdr:rowOff>
    </xdr:from>
    <xdr:ext cx="420340" cy="379401"/>
    <xdr:pic macro="[0]!MostarBARRAS">
      <xdr:nvPicPr>
        <xdr:cNvPr id="11" name="Mostrar Barras" hidden="1">
          <a:extLst>
            <a:ext uri="{FF2B5EF4-FFF2-40B4-BE49-F238E27FC236}">
              <a16:creationId xmlns:a16="http://schemas.microsoft.com/office/drawing/2014/main" id="{D5B069CC-CF15-48FF-8A57-9C1BD51F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445" y="148339"/>
          <a:ext cx="420340" cy="379401"/>
        </a:xfrm>
        <a:prstGeom prst="rect">
          <a:avLst/>
        </a:prstGeom>
      </xdr:spPr>
    </xdr:pic>
    <xdr:clientData/>
  </xdr:oneCellAnchor>
  <xdr:oneCellAnchor>
    <xdr:from>
      <xdr:col>155</xdr:col>
      <xdr:colOff>5734</xdr:colOff>
      <xdr:row>0</xdr:row>
      <xdr:rowOff>148339</xdr:rowOff>
    </xdr:from>
    <xdr:ext cx="424162" cy="379401"/>
    <xdr:pic macro="[0]!OcultarBARRAS">
      <xdr:nvPicPr>
        <xdr:cNvPr id="12" name="Ocultar Barras">
          <a:extLst>
            <a:ext uri="{FF2B5EF4-FFF2-40B4-BE49-F238E27FC236}">
              <a16:creationId xmlns:a16="http://schemas.microsoft.com/office/drawing/2014/main" id="{9C1D6EF5-4FEB-4DC3-8835-22FB3C0EF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3534" y="148339"/>
          <a:ext cx="424162" cy="379401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1">
    <v>1</v>
    <v>5</v>
    <v>Prisma rectangular con relleno sólido</v>
  </rv>
  <rv s="0">
    <v>2</v>
    <v>5</v>
  </rv>
  <rv s="1">
    <v>3</v>
    <v>5</v>
    <v>Cadena de bloques con relleno sólido</v>
  </rv>
  <rv s="0">
    <v>4</v>
    <v>5</v>
  </rv>
  <rv s="0">
    <v>5</v>
    <v>5</v>
  </rv>
  <rv s="0">
    <v>6</v>
    <v>5</v>
  </rv>
  <rv s="1">
    <v>7</v>
    <v>5</v>
    <v>Varios con relleno sólido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DC8BCD-2756-446F-AB99-D69AADB8F93D}" name="ProfNW13" displayName="ProfNW13" ref="FB68:FB70" totalsRowShown="0" headerRowDxfId="5" dataDxfId="4" headerRowCellStyle="Normal 2" dataCellStyle="Normal 2">
  <autoFilter ref="FB68:FB70" xr:uid="{4F529315-B37B-4621-8D01-0AFFC0E4F9A4}"/>
  <tableColumns count="1">
    <tableColumn id="1" xr3:uid="{8327DA2D-9234-4E2E-898D-EA80CA96ED12}" name="Columna1" dataDxfId="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05F5D3-2A7F-4290-9B38-713266080F9A}" name="SiPM14" displayName="SiPM14" ref="EX69:EX70" totalsRowShown="0" headerRowDxfId="2" dataDxfId="1" headerRowCellStyle="Normal 2" dataCellStyle="Normal 2">
  <autoFilter ref="EX69:EX70" xr:uid="{611309B8-5DB4-4952-ACAD-EB1F8E123A86}"/>
  <tableColumns count="1">
    <tableColumn id="1" xr3:uid="{357CA6F6-7DA1-44DE-B1FF-D0666AE78DDE}" name="Columna1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6.xml"/><Relationship Id="rId18" Type="http://schemas.openxmlformats.org/officeDocument/2006/relationships/table" Target="../tables/table2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18.emf"/><Relationship Id="rId12" Type="http://schemas.openxmlformats.org/officeDocument/2006/relationships/image" Target="../media/image20.emf"/><Relationship Id="rId17" Type="http://schemas.openxmlformats.org/officeDocument/2006/relationships/table" Target="../tables/table1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5.xml"/><Relationship Id="rId5" Type="http://schemas.openxmlformats.org/officeDocument/2006/relationships/image" Target="../media/image17.emf"/><Relationship Id="rId15" Type="http://schemas.openxmlformats.org/officeDocument/2006/relationships/image" Target="../media/image21.emf"/><Relationship Id="rId10" Type="http://schemas.openxmlformats.org/officeDocument/2006/relationships/image" Target="../media/image19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2202-FEE6-4688-8843-2D8D2DEBFD47}">
  <sheetPr codeName="Hoja2"/>
  <dimension ref="A1:CP470"/>
  <sheetViews>
    <sheetView showGridLines="0" topLeftCell="BM1" zoomScale="70" zoomScaleNormal="70" workbookViewId="0">
      <pane ySplit="5" topLeftCell="A6" activePane="bottomLeft" state="frozen"/>
      <selection activeCell="AP71" sqref="AP71"/>
      <selection pane="bottomLeft" activeCell="BR32" sqref="BR32"/>
    </sheetView>
  </sheetViews>
  <sheetFormatPr baseColWidth="10" defaultRowHeight="20" customHeight="1" outlineLevelRow="2" outlineLevelCol="1" x14ac:dyDescent="0.65"/>
  <cols>
    <col min="1" max="1" width="6.5" style="1" customWidth="1"/>
    <col min="2" max="2" width="15.58203125" style="2" customWidth="1"/>
    <col min="3" max="3" width="12.58203125" style="3" customWidth="1"/>
    <col min="4" max="6" width="12.58203125" style="4" customWidth="1"/>
    <col min="7" max="7" width="5.58203125" style="1" customWidth="1" outlineLevel="1"/>
    <col min="8" max="8" width="10.58203125" style="1" customWidth="1" outlineLevel="1"/>
    <col min="9" max="9" width="5.58203125" style="1" customWidth="1" outlineLevel="1"/>
    <col min="10" max="10" width="10.58203125" style="1" customWidth="1" outlineLevel="1"/>
    <col min="11" max="11" width="5.58203125" style="1" customWidth="1" outlineLevel="1"/>
    <col min="12" max="12" width="10.58203125" style="1" customWidth="1" outlineLevel="1"/>
    <col min="13" max="15" width="10.58203125" style="3" customWidth="1" outlineLevel="1"/>
    <col min="16" max="16" width="15.58203125" style="2" customWidth="1" outlineLevel="1"/>
    <col min="17" max="17" width="50.58203125" style="5" customWidth="1"/>
    <col min="18" max="18" width="10.6640625" style="1"/>
    <col min="19" max="19" width="6.75" style="2" bestFit="1" customWidth="1"/>
    <col min="20" max="20" width="28.58203125" style="51" customWidth="1"/>
    <col min="21" max="21" width="10.58203125" style="3" customWidth="1" outlineLevel="1"/>
    <col min="22" max="22" width="10.58203125" style="2" customWidth="1" outlineLevel="1"/>
    <col min="23" max="25" width="10.58203125" style="3" customWidth="1" outlineLevel="1"/>
    <col min="26" max="26" width="15.5" style="3" customWidth="1" outlineLevel="1"/>
    <col min="27" max="27" width="15.58203125" style="3" customWidth="1"/>
    <col min="28" max="29" width="10.6640625" style="1"/>
    <col min="30" max="30" width="20.25" style="1" bestFit="1" customWidth="1"/>
    <col min="31" max="31" width="4.25" style="1" bestFit="1" customWidth="1"/>
    <col min="32" max="32" width="3.08203125" style="1" bestFit="1" customWidth="1"/>
    <col min="33" max="33" width="9.9140625" style="1" customWidth="1"/>
    <col min="34" max="34" width="15.83203125" style="1" bestFit="1" customWidth="1"/>
    <col min="35" max="37" width="10.6640625" style="1"/>
    <col min="38" max="40" width="8.58203125" style="1" customWidth="1"/>
    <col min="41" max="41" width="6.58203125" style="1" customWidth="1"/>
    <col min="42" max="47" width="5.58203125" style="1" customWidth="1"/>
    <col min="48" max="49" width="14.75" style="1" customWidth="1"/>
    <col min="50" max="50" width="55.25" style="1" bestFit="1" customWidth="1"/>
    <col min="51" max="53" width="10.6640625" style="1"/>
    <col min="54" max="58" width="10.6640625" style="3"/>
    <col min="59" max="59" width="5.58203125" style="1" customWidth="1"/>
    <col min="60" max="79" width="10.6640625" style="1"/>
    <col min="80" max="82" width="10.6640625" style="3"/>
    <col min="83" max="83" width="5.58203125" style="1" customWidth="1"/>
    <col min="84" max="16384" width="10.6640625" style="1"/>
  </cols>
  <sheetData>
    <row r="1" spans="1:94" ht="20" customHeight="1" x14ac:dyDescent="0.65">
      <c r="S1" s="340" t="s">
        <v>0</v>
      </c>
      <c r="T1" s="341"/>
      <c r="U1" s="6"/>
      <c r="V1" s="118"/>
      <c r="W1" s="6"/>
      <c r="X1" s="6"/>
      <c r="Y1" s="7" t="s">
        <v>1</v>
      </c>
      <c r="Z1" s="6" t="str">
        <f>MID(AA1,1,2)</f>
        <v>22</v>
      </c>
      <c r="AA1" s="8">
        <v>2200</v>
      </c>
    </row>
    <row r="2" spans="1:94" ht="20" customHeight="1" x14ac:dyDescent="0.65">
      <c r="S2" s="340" t="s">
        <v>2</v>
      </c>
      <c r="T2" s="341"/>
      <c r="U2" s="6"/>
      <c r="V2" s="118"/>
      <c r="W2" s="6"/>
      <c r="X2" s="6"/>
      <c r="Y2" s="7" t="s">
        <v>3</v>
      </c>
      <c r="Z2" s="6" t="str">
        <f>MID(AA2,1,2)</f>
        <v>72</v>
      </c>
      <c r="AA2" s="8">
        <v>720</v>
      </c>
    </row>
    <row r="3" spans="1:94" ht="20" customHeight="1" x14ac:dyDescent="0.65">
      <c r="S3" s="340" t="s">
        <v>4</v>
      </c>
      <c r="T3" s="341"/>
      <c r="U3" s="6"/>
      <c r="V3" s="118"/>
      <c r="W3" s="6"/>
      <c r="X3" s="6"/>
      <c r="Y3" s="7" t="s">
        <v>5</v>
      </c>
      <c r="Z3" s="6" t="str">
        <f>MID(AA3,1,2)</f>
        <v>60</v>
      </c>
      <c r="AA3" s="8">
        <v>600</v>
      </c>
    </row>
    <row r="4" spans="1:94" ht="20" customHeight="1" x14ac:dyDescent="0.65">
      <c r="S4" s="340" t="s">
        <v>6</v>
      </c>
      <c r="T4" s="341"/>
      <c r="U4" s="6"/>
      <c r="V4" s="118"/>
      <c r="W4" s="6"/>
      <c r="X4" s="6"/>
      <c r="Y4" s="6"/>
      <c r="Z4" s="6"/>
      <c r="AA4" s="8">
        <v>30</v>
      </c>
      <c r="AD4" s="3">
        <v>1</v>
      </c>
      <c r="AE4" s="3">
        <v>2</v>
      </c>
      <c r="AF4" s="3">
        <v>3</v>
      </c>
      <c r="AG4" s="3">
        <v>4</v>
      </c>
      <c r="AH4" s="3">
        <v>5</v>
      </c>
      <c r="AI4" s="3">
        <v>6</v>
      </c>
      <c r="AJ4" s="3">
        <v>7</v>
      </c>
      <c r="AK4" s="3">
        <v>8</v>
      </c>
      <c r="AL4" s="3">
        <v>9</v>
      </c>
      <c r="AM4" s="3">
        <v>10</v>
      </c>
      <c r="AN4" s="3">
        <v>11</v>
      </c>
      <c r="AO4" s="3">
        <v>12</v>
      </c>
      <c r="AP4" s="3">
        <v>13</v>
      </c>
      <c r="AQ4" s="3">
        <v>14</v>
      </c>
      <c r="AR4" s="3">
        <v>15</v>
      </c>
      <c r="AS4" s="3">
        <v>16</v>
      </c>
      <c r="AT4" s="3">
        <v>17</v>
      </c>
      <c r="AU4" s="3">
        <v>18</v>
      </c>
      <c r="AV4" s="3">
        <v>19</v>
      </c>
      <c r="AW4" s="3">
        <v>20</v>
      </c>
      <c r="AX4" s="3">
        <v>21</v>
      </c>
      <c r="BH4" s="300" t="s">
        <v>750</v>
      </c>
      <c r="BI4" s="301"/>
      <c r="BJ4" s="301"/>
      <c r="BK4" s="302"/>
      <c r="BL4" s="303" t="s">
        <v>612</v>
      </c>
      <c r="BM4" s="303"/>
      <c r="BN4" s="303"/>
      <c r="BO4" s="303"/>
      <c r="BP4" s="303"/>
      <c r="BQ4" s="303"/>
      <c r="BR4" s="303"/>
      <c r="BS4" s="303"/>
      <c r="BT4" s="303"/>
      <c r="BU4" s="303"/>
      <c r="BV4" s="303"/>
      <c r="BW4" s="303"/>
      <c r="BX4" s="303"/>
      <c r="BY4" s="303"/>
      <c r="BZ4" s="303"/>
      <c r="CF4" s="304" t="s">
        <v>611</v>
      </c>
      <c r="CG4" s="304"/>
      <c r="CH4" s="304"/>
      <c r="CI4" s="304"/>
      <c r="CJ4" s="304"/>
      <c r="CK4" s="304"/>
      <c r="CL4" s="304"/>
      <c r="CM4" s="304"/>
      <c r="CN4" s="304"/>
      <c r="CO4" s="304"/>
      <c r="CP4" s="304"/>
    </row>
    <row r="5" spans="1:94" s="12" customFormat="1" ht="25" customHeight="1" thickBot="1" x14ac:dyDescent="0.7">
      <c r="A5" s="9"/>
      <c r="B5" s="10" t="s">
        <v>7</v>
      </c>
      <c r="C5" s="11" t="s">
        <v>8</v>
      </c>
      <c r="D5" s="9" t="s">
        <v>7</v>
      </c>
      <c r="E5" s="9" t="s">
        <v>9</v>
      </c>
      <c r="F5" s="9" t="s">
        <v>10</v>
      </c>
      <c r="G5" s="336" t="s">
        <v>11</v>
      </c>
      <c r="H5" s="336"/>
      <c r="I5" s="336" t="s">
        <v>12</v>
      </c>
      <c r="J5" s="336"/>
      <c r="K5" s="336" t="s">
        <v>13</v>
      </c>
      <c r="L5" s="336"/>
      <c r="M5" s="9" t="s">
        <v>14</v>
      </c>
      <c r="N5" s="9" t="s">
        <v>15</v>
      </c>
      <c r="O5" s="9" t="s">
        <v>16</v>
      </c>
      <c r="P5" s="9" t="s">
        <v>17</v>
      </c>
      <c r="Q5" s="11" t="s">
        <v>18</v>
      </c>
      <c r="S5" s="337"/>
      <c r="T5" s="337"/>
      <c r="U5" s="9" t="s">
        <v>8</v>
      </c>
      <c r="V5" s="119" t="s">
        <v>19</v>
      </c>
      <c r="W5" s="9" t="s">
        <v>14</v>
      </c>
      <c r="X5" s="9" t="s">
        <v>15</v>
      </c>
      <c r="Y5" s="9" t="s">
        <v>16</v>
      </c>
      <c r="Z5" s="13" t="s">
        <v>20</v>
      </c>
      <c r="AA5" s="11" t="s">
        <v>7</v>
      </c>
      <c r="AD5" s="154" t="s">
        <v>728</v>
      </c>
      <c r="AE5" s="338" t="s">
        <v>729</v>
      </c>
      <c r="AF5" s="338"/>
      <c r="AG5" s="157" t="s">
        <v>878</v>
      </c>
      <c r="AH5" s="157" t="s">
        <v>617</v>
      </c>
      <c r="AI5" s="157" t="s">
        <v>730</v>
      </c>
      <c r="AJ5" s="157" t="s">
        <v>708</v>
      </c>
      <c r="AK5" s="157" t="s">
        <v>731</v>
      </c>
      <c r="AL5" s="157" t="s">
        <v>12</v>
      </c>
      <c r="AM5" s="157" t="s">
        <v>13</v>
      </c>
      <c r="AN5" s="155" t="s">
        <v>623</v>
      </c>
      <c r="AO5" s="339" t="s">
        <v>728</v>
      </c>
      <c r="AP5" s="339"/>
      <c r="AQ5" s="339"/>
      <c r="AR5" s="339"/>
      <c r="AS5" s="339"/>
      <c r="AT5" s="339"/>
      <c r="AU5" s="339"/>
      <c r="AV5" s="156" t="s">
        <v>624</v>
      </c>
      <c r="AW5" s="156" t="s">
        <v>616</v>
      </c>
      <c r="AX5" s="157" t="s">
        <v>732</v>
      </c>
      <c r="BH5" s="179"/>
      <c r="BI5" s="180"/>
      <c r="BJ5" s="181" t="s">
        <v>751</v>
      </c>
      <c r="BK5" s="181" t="s">
        <v>752</v>
      </c>
      <c r="BL5" s="182" t="s">
        <v>753</v>
      </c>
      <c r="BM5" s="182" t="s">
        <v>7</v>
      </c>
      <c r="BN5" s="183" t="s">
        <v>754</v>
      </c>
      <c r="BO5" s="184" t="s">
        <v>755</v>
      </c>
      <c r="BP5" s="184" t="s">
        <v>756</v>
      </c>
      <c r="BQ5" s="184" t="s">
        <v>757</v>
      </c>
      <c r="BR5" s="184" t="s">
        <v>758</v>
      </c>
      <c r="BS5" s="184" t="s">
        <v>759</v>
      </c>
      <c r="BT5" s="184" t="s">
        <v>760</v>
      </c>
      <c r="BU5" s="184" t="s">
        <v>761</v>
      </c>
      <c r="BV5" s="184" t="s">
        <v>762</v>
      </c>
      <c r="BW5" s="184" t="s">
        <v>763</v>
      </c>
      <c r="BX5" s="184" t="s">
        <v>764</v>
      </c>
      <c r="BY5" s="184" t="s">
        <v>765</v>
      </c>
      <c r="BZ5" s="184" t="s">
        <v>766</v>
      </c>
      <c r="CA5" s="1"/>
      <c r="CF5" s="185" t="s">
        <v>767</v>
      </c>
      <c r="CG5" s="185" t="s">
        <v>7</v>
      </c>
      <c r="CH5" s="186" t="s">
        <v>754</v>
      </c>
      <c r="CI5" s="187" t="s">
        <v>755</v>
      </c>
      <c r="CJ5" s="187" t="s">
        <v>756</v>
      </c>
      <c r="CK5" s="187" t="s">
        <v>757</v>
      </c>
      <c r="CL5" s="187" t="s">
        <v>758</v>
      </c>
      <c r="CM5" s="187" t="s">
        <v>759</v>
      </c>
      <c r="CN5" s="187" t="s">
        <v>760</v>
      </c>
      <c r="CO5" s="187" t="s">
        <v>761</v>
      </c>
      <c r="CP5" s="187" t="s">
        <v>762</v>
      </c>
    </row>
    <row r="6" spans="1:94" ht="20" customHeight="1" outlineLevel="1" x14ac:dyDescent="0.65">
      <c r="A6" s="14">
        <v>1</v>
      </c>
      <c r="B6" s="15" t="str">
        <f>MID(H6,1,2)&amp;MID(J6,1,2)&amp;MID(L6,1,2)&amp;MID(C6,1,2)&amp;MID(M6,1,1)&amp;MID(N6,1,1)&amp;MID(O6,1,1)&amp;MID(P6,1,3)</f>
        <v>182040Ma</v>
      </c>
      <c r="C6" s="16" t="s">
        <v>21</v>
      </c>
      <c r="D6" s="17" t="s">
        <v>22</v>
      </c>
      <c r="E6" s="18" t="s">
        <v>23</v>
      </c>
      <c r="F6" s="18" t="s">
        <v>24</v>
      </c>
      <c r="G6" s="19" t="str">
        <f>IF(H6&lt;&gt;"","H:","")</f>
        <v>H:</v>
      </c>
      <c r="H6" s="19">
        <v>1800</v>
      </c>
      <c r="I6" s="20" t="str">
        <f>IF(J6&lt;&gt;"","W:","")</f>
        <v>W:</v>
      </c>
      <c r="J6" s="20">
        <v>200</v>
      </c>
      <c r="K6" s="21" t="str">
        <f>IF(L6&lt;&gt;"","D:","")</f>
        <v>D:</v>
      </c>
      <c r="L6" s="21">
        <v>400</v>
      </c>
      <c r="M6" s="22"/>
      <c r="N6" s="23"/>
      <c r="O6" s="24"/>
      <c r="P6" s="25"/>
      <c r="Q6" s="26" t="str">
        <f>IF(B6&lt;&gt;"",(C6&amp;M6&amp;N6&amp;O6&amp;P6&amp;" / "&amp;G6&amp;H6&amp;I6&amp;J6&amp;K6&amp;L6&amp;" mm"),"")</f>
        <v>Marco  / H:1800W:200D:400 mm</v>
      </c>
      <c r="S6" s="27" t="s">
        <v>25</v>
      </c>
      <c r="T6" s="28" t="s">
        <v>26</v>
      </c>
      <c r="U6" s="29" t="s">
        <v>27</v>
      </c>
      <c r="V6" s="120" t="str">
        <f>Z1&amp;Z2&amp;Z3</f>
        <v>227260</v>
      </c>
      <c r="W6" s="30"/>
      <c r="X6" s="30"/>
      <c r="Y6" s="30"/>
      <c r="Z6" s="31" t="str">
        <f t="shared" ref="Z6:Z15" si="0">V6&amp;U6&amp;MID(W6,1,1)&amp;MID(X6,1,1)&amp;MID(Y6,1,3)</f>
        <v>227260Ma</v>
      </c>
      <c r="AA6" s="32" t="str">
        <f t="shared" ref="AA6:AA20" si="1">VLOOKUP(Z6,$B$6:$D$470,3,FALSE)</f>
        <v>017033</v>
      </c>
      <c r="AD6" s="158" t="str">
        <f>AO6&amp;AP6&amp;AQ6&amp;AR6&amp;AS6&amp;AT6&amp;AN6&amp;AU6</f>
        <v>IMBVFPW2-</v>
      </c>
      <c r="AE6" s="148" t="s">
        <v>733</v>
      </c>
      <c r="AF6" s="148" t="s">
        <v>697</v>
      </c>
      <c r="AG6" s="148" t="s">
        <v>888</v>
      </c>
      <c r="AH6" s="3" t="s">
        <v>734</v>
      </c>
      <c r="AI6" s="3" t="s">
        <v>522</v>
      </c>
      <c r="AJ6" s="148" t="s">
        <v>735</v>
      </c>
      <c r="AK6" s="148" t="s">
        <v>736</v>
      </c>
      <c r="AL6" s="148" t="s">
        <v>700</v>
      </c>
      <c r="AM6" s="148"/>
      <c r="AN6" s="148" t="s">
        <v>564</v>
      </c>
      <c r="AO6" s="148" t="str">
        <f>MID(AG6,1,1)</f>
        <v>I</v>
      </c>
      <c r="AP6" s="3" t="str" cm="1">
        <f t="array" ref="AP6">IFERROR(_xlfn.IFS(AH6="Mini Breaker ","MB",AH6="GoPact ","GP",AH6="EZC 100 ","EZ1",AH6="EZC 250 ","EZ2",AH6="CVS/NSX 250 ","CV2",AH6="CVS/NSX/EZC 630 ","CV6",AH6="NS 1600 ","NS1",AH6="NW/MTZ 4000 ","NW4",AH6="Conmutador PEQ. ","CP",AH6="Conmutador MED. ","CM",AH6="Conmutador GRA. ","CG",AH6="Contactores ","CK"),"")</f>
        <v>MB</v>
      </c>
      <c r="AQ6" s="3" t="str" cm="1">
        <f t="array" ref="AQ6">_xlfn.IFS(AI6="Horizontal ","H",AI6="Horizontal COMPUESTA ","HC",AI6="Vertical ","V",AI6="Vertical Compacta ","VC",AI6="Vertical Extendida ","VE")</f>
        <v>V</v>
      </c>
      <c r="AR6" s="148" t="str">
        <f>MID(AJ6,1,1)</f>
        <v>F</v>
      </c>
      <c r="AS6" s="148" t="str">
        <f>MID(AK6,1,1)</f>
        <v>P</v>
      </c>
      <c r="AT6" s="148" t="str" cm="1">
        <f t="array" ref="AT6">IFERROR(_xlfn.IFS(AL6="W:200 ","W1",AL6="W:400 ","W2",AL6="W:720 ","W3",AL6="W:800 ","W4",AL6="W:1120 ","W5"),"")</f>
        <v>W2</v>
      </c>
      <c r="AU6" s="148" t="str" cm="1">
        <f t="array" ref="AU6">IFERROR(_xlfn.IFS(AM6="D:400 ","D1",AM6="D:600 ","D2",AM6="D:1000 ","D3"),"")</f>
        <v/>
      </c>
      <c r="AV6" s="148" t="s">
        <v>625</v>
      </c>
      <c r="AW6" s="148" t="s">
        <v>626</v>
      </c>
      <c r="AX6" s="159" t="str">
        <f>AE6&amp;AF6&amp;AH6&amp;AI6&amp;AJ6&amp;AK6&amp;AL6&amp;AM6&amp;AN6</f>
        <v>UF.  de Mini Breaker Vertical Fijo Palanca W:400 -</v>
      </c>
      <c r="BB6" s="268" t="str">
        <f>BC6&amp;BD6&amp;BE6&amp;BF6</f>
        <v>1AH</v>
      </c>
      <c r="BC6" s="269" cm="1">
        <f t="array" ref="BC6">_xlfn.IFS(BJ6="10 - 25",1,BJ6="10 - 40",2,BJ6="10 - 65",3,BJ6="10 - 85",4)</f>
        <v>1</v>
      </c>
      <c r="BD6" s="269" t="str" cm="1">
        <f t="array" ref="BD6">_xlfn.IFS(BK6="630","A",BK6="1250","B",BK6="1600","C",BK6="2000","D",BK6="2500","E",BK6="3200","F",BK6="4000","G",BK6="5000","H",BK6="6300","I",BK6="7000","J")</f>
        <v>A</v>
      </c>
      <c r="BE6" s="269" t="s">
        <v>1</v>
      </c>
      <c r="BF6" s="270" t="str" cm="1">
        <f t="array" ref="BF6">IFERROR(_xlfn.IFS(BL6="400 + 400","X",BL6="720","Y",BL6="1120","Z"),"")</f>
        <v/>
      </c>
      <c r="BG6" s="266"/>
      <c r="BH6" s="305" t="s">
        <v>768</v>
      </c>
      <c r="BI6" s="306"/>
      <c r="BJ6" s="309" t="s">
        <v>606</v>
      </c>
      <c r="BK6" s="312" t="s">
        <v>618</v>
      </c>
      <c r="BL6" s="188" t="s">
        <v>564</v>
      </c>
      <c r="BM6" s="189" t="s">
        <v>564</v>
      </c>
      <c r="BN6" s="190" t="s">
        <v>596</v>
      </c>
      <c r="BO6" s="191" t="s">
        <v>564</v>
      </c>
      <c r="BP6" s="191" t="s">
        <v>564</v>
      </c>
      <c r="BQ6" s="191" t="s">
        <v>564</v>
      </c>
      <c r="BR6" s="191" t="s">
        <v>564</v>
      </c>
      <c r="BS6" s="191" t="s">
        <v>564</v>
      </c>
      <c r="BT6" s="191" t="s">
        <v>564</v>
      </c>
      <c r="BU6" s="191" t="s">
        <v>564</v>
      </c>
      <c r="BV6" s="191" t="s">
        <v>564</v>
      </c>
      <c r="BW6" s="191" t="s">
        <v>564</v>
      </c>
      <c r="BX6" s="191" t="s">
        <v>564</v>
      </c>
      <c r="BY6" s="191" t="s">
        <v>564</v>
      </c>
      <c r="BZ6" s="191" t="s">
        <v>564</v>
      </c>
      <c r="CB6" s="268" t="str">
        <f t="shared" ref="CB6:CB39" si="2">BC6&amp;BD6&amp;CC6&amp;CD6</f>
        <v>1AVM</v>
      </c>
      <c r="CC6" s="276" t="s">
        <v>875</v>
      </c>
      <c r="CD6" s="277" t="str" cm="1">
        <f t="array" ref="CD6">IFERROR(_xlfn.IFS(CF6="1/4","M",CF6="1/2","N",CF6="3/4","O",CF6="1","P"),"")</f>
        <v>M</v>
      </c>
      <c r="CE6" s="266"/>
      <c r="CF6" s="192" t="s">
        <v>769</v>
      </c>
      <c r="CG6" s="193" t="s">
        <v>621</v>
      </c>
      <c r="CH6" s="194" t="s">
        <v>596</v>
      </c>
      <c r="CI6" s="195" t="s">
        <v>770</v>
      </c>
      <c r="CJ6" s="195" t="s">
        <v>771</v>
      </c>
      <c r="CK6" s="195" t="s">
        <v>772</v>
      </c>
      <c r="CL6" s="195" t="s">
        <v>773</v>
      </c>
      <c r="CM6" s="195" t="s">
        <v>564</v>
      </c>
      <c r="CN6" s="195" t="s">
        <v>564</v>
      </c>
      <c r="CO6" s="195" t="s">
        <v>564</v>
      </c>
      <c r="CP6" s="196" t="s">
        <v>564</v>
      </c>
    </row>
    <row r="7" spans="1:94" ht="20" customHeight="1" outlineLevel="1" x14ac:dyDescent="0.65">
      <c r="A7" s="14">
        <v>2</v>
      </c>
      <c r="B7" s="15" t="str">
        <f t="shared" ref="B7:B82" si="3">MID(H7,1,2)&amp;MID(J7,1,2)&amp;MID(L7,1,2)&amp;MID(C7,1,2)&amp;MID(M7,1,1)&amp;MID(N7,1,1)&amp;MID(O7,1,1)&amp;MID(P7,1,3)</f>
        <v>182060Ma</v>
      </c>
      <c r="C7" s="16" t="s">
        <v>21</v>
      </c>
      <c r="D7" s="17" t="s">
        <v>28</v>
      </c>
      <c r="E7" s="18" t="s">
        <v>29</v>
      </c>
      <c r="F7" s="18" t="s">
        <v>24</v>
      </c>
      <c r="G7" s="19" t="str">
        <f t="shared" ref="G7:G82" si="4">IF(H7&lt;&gt;"","H:","")</f>
        <v>H:</v>
      </c>
      <c r="H7" s="19">
        <v>1800</v>
      </c>
      <c r="I7" s="20" t="str">
        <f t="shared" ref="I7:I82" si="5">IF(J7&lt;&gt;"","W:","")</f>
        <v>W:</v>
      </c>
      <c r="J7" s="20">
        <v>200</v>
      </c>
      <c r="K7" s="21" t="str">
        <f t="shared" ref="K7:K82" si="6">IF(L7&lt;&gt;"","D:","")</f>
        <v>D:</v>
      </c>
      <c r="L7" s="21">
        <v>600</v>
      </c>
      <c r="M7" s="22"/>
      <c r="N7" s="23"/>
      <c r="O7" s="24"/>
      <c r="P7" s="25"/>
      <c r="Q7" s="26" t="str">
        <f t="shared" ref="Q7:Q82" si="7">IF(B7&lt;&gt;"",(C7&amp;M7&amp;N7&amp;O7&amp;P7&amp;" / "&amp;G7&amp;H7&amp;I7&amp;J7&amp;K7&amp;L7&amp;" mm"),"")</f>
        <v>Marco  / H:1800W:200D:600 mm</v>
      </c>
      <c r="S7" s="27" t="s">
        <v>30</v>
      </c>
      <c r="T7" s="28" t="s">
        <v>31</v>
      </c>
      <c r="U7" s="29" t="s">
        <v>32</v>
      </c>
      <c r="V7" s="120" t="str">
        <f>Z1&amp;Z2</f>
        <v>2272</v>
      </c>
      <c r="W7" s="30" t="s">
        <v>33</v>
      </c>
      <c r="X7" s="30"/>
      <c r="Y7" s="30"/>
      <c r="Z7" s="31" t="str">
        <f t="shared" si="0"/>
        <v>2272PuP</v>
      </c>
      <c r="AA7" s="32" t="str">
        <f t="shared" si="1"/>
        <v>014109</v>
      </c>
      <c r="AD7" s="158" t="str">
        <f t="shared" ref="AD7:AD49" si="8">AO7&amp;AP7&amp;AQ7&amp;AR7&amp;AS7&amp;AT7&amp;AN7&amp;AU7</f>
        <v>IMBVFPW3-</v>
      </c>
      <c r="AE7" s="148" t="s">
        <v>733</v>
      </c>
      <c r="AF7" s="148" t="s">
        <v>697</v>
      </c>
      <c r="AG7" s="148" t="s">
        <v>888</v>
      </c>
      <c r="AH7" s="3" t="s">
        <v>734</v>
      </c>
      <c r="AI7" s="3" t="s">
        <v>522</v>
      </c>
      <c r="AJ7" s="148" t="s">
        <v>735</v>
      </c>
      <c r="AK7" s="148" t="s">
        <v>736</v>
      </c>
      <c r="AL7" s="148" t="s">
        <v>701</v>
      </c>
      <c r="AM7" s="148"/>
      <c r="AN7" s="148" t="s">
        <v>564</v>
      </c>
      <c r="AO7" s="148" t="str">
        <f t="shared" ref="AO7:AO49" si="9">MID(AG7,1,1)</f>
        <v>I</v>
      </c>
      <c r="AP7" s="3" t="str" cm="1">
        <f t="array" ref="AP7">IFERROR(_xlfn.IFS(AH7="Mini Breaker ","MB",AH7="GoPact ","GP",AH7="EZC 100 ","EZ1",AH7="EZC 250 ","EZ2",AH7="CVS/NSX 250 ","CV2",AH7="CVS/NSX/EZC 630 ","CV6",AH7="NS 1600 ","NS1",AH7="NW/MTZ 4000 ","NW4",AH7="Conmutador PEQ. ","CP",AH7="Conmutador MED. ","CM",AH7="Conmutador GRA. ","CG",AH7="Contactores ","CK"),"")</f>
        <v>MB</v>
      </c>
      <c r="AQ7" s="3" t="str" cm="1">
        <f t="array" ref="AQ7">_xlfn.IFS(AI7="Horizontal ","H",AI7="Horizontal COMPUESTA ","HC",AI7="Vertical ","V",AI7="Vertical Compacta ","VC",AI7="Vertical Extendida ","VE")</f>
        <v>V</v>
      </c>
      <c r="AR7" s="148" t="str">
        <f>MID(AJ7,1,1)</f>
        <v>F</v>
      </c>
      <c r="AS7" s="148" t="str">
        <f>MID(AK7,1,1)</f>
        <v>P</v>
      </c>
      <c r="AT7" s="148" t="str" cm="1">
        <f t="array" ref="AT7">IFERROR(_xlfn.IFS(AL7="W:200 ","W1",AL7="W:400 ","W2",AL7="W:720 ","W3",AL7="W:800 ","W4",AL7="W:1120 ","W5"),"")</f>
        <v>W3</v>
      </c>
      <c r="AU7" s="148" t="str" cm="1">
        <f t="array" ref="AU7">IFERROR(_xlfn.IFS(AM7="D:400 ","D1",AM7="D:600 ","D2",AM7="D:1000 ","D3"),"")</f>
        <v/>
      </c>
      <c r="AV7" s="148" t="s">
        <v>627</v>
      </c>
      <c r="AW7" s="148" t="s">
        <v>628</v>
      </c>
      <c r="AX7" s="159" t="str">
        <f t="shared" ref="AX7:AX49" si="10">AE7&amp;AF7&amp;AH7&amp;AI7&amp;AJ7&amp;AK7&amp;AL7&amp;AM7&amp;AN7</f>
        <v>UF.  de Mini Breaker Vertical Fijo Palanca W:720 -</v>
      </c>
      <c r="BB7" s="271" t="str">
        <f t="shared" ref="BB7:BB39" si="11">BC7&amp;BD7&amp;BE7&amp;BF7</f>
        <v>1AH</v>
      </c>
      <c r="BC7" s="262">
        <f>BC6</f>
        <v>1</v>
      </c>
      <c r="BD7" s="262" t="str">
        <f>BD6</f>
        <v>A</v>
      </c>
      <c r="BE7" s="262" t="str">
        <f>BE6</f>
        <v>H</v>
      </c>
      <c r="BF7" s="272" t="str" cm="1">
        <f t="array" ref="BF7">IFERROR(_xlfn.IFS(BL7="400 + 400","X",BL7="720","Y",BL7="1120","Z"),"")</f>
        <v/>
      </c>
      <c r="BG7" s="266"/>
      <c r="BH7" s="305"/>
      <c r="BI7" s="306"/>
      <c r="BJ7" s="310"/>
      <c r="BK7" s="297"/>
      <c r="BL7" s="197" t="s">
        <v>564</v>
      </c>
      <c r="BM7" s="198" t="s">
        <v>564</v>
      </c>
      <c r="BN7" s="199" t="s">
        <v>597</v>
      </c>
      <c r="BO7" s="200" t="s">
        <v>564</v>
      </c>
      <c r="BP7" s="200" t="s">
        <v>564</v>
      </c>
      <c r="BQ7" s="200" t="s">
        <v>564</v>
      </c>
      <c r="BR7" s="200" t="s">
        <v>564</v>
      </c>
      <c r="BS7" s="200" t="s">
        <v>564</v>
      </c>
      <c r="BT7" s="200" t="s">
        <v>564</v>
      </c>
      <c r="BU7" s="200" t="s">
        <v>564</v>
      </c>
      <c r="BV7" s="200" t="s">
        <v>564</v>
      </c>
      <c r="BW7" s="200" t="s">
        <v>564</v>
      </c>
      <c r="BX7" s="200" t="s">
        <v>564</v>
      </c>
      <c r="BY7" s="200" t="s">
        <v>564</v>
      </c>
      <c r="BZ7" s="200" t="s">
        <v>564</v>
      </c>
      <c r="CB7" s="271" t="str">
        <f t="shared" si="2"/>
        <v>1AVN</v>
      </c>
      <c r="CC7" s="267" t="s">
        <v>875</v>
      </c>
      <c r="CD7" s="278" t="str" cm="1">
        <f t="array" ref="CD7">IFERROR(_xlfn.IFS(CF7="1/4","M",CF7="1/2","N",CF7="3/4","O",CF7="1","P"),"")</f>
        <v>N</v>
      </c>
      <c r="CE7" s="266"/>
      <c r="CF7" s="201" t="s">
        <v>774</v>
      </c>
      <c r="CG7" s="202" t="s">
        <v>775</v>
      </c>
      <c r="CH7" s="203" t="s">
        <v>597</v>
      </c>
      <c r="CI7" s="295" t="s">
        <v>776</v>
      </c>
      <c r="CJ7" s="295" t="s">
        <v>777</v>
      </c>
      <c r="CK7" s="295" t="s">
        <v>778</v>
      </c>
      <c r="CL7" s="295" t="s">
        <v>779</v>
      </c>
      <c r="CM7" s="295" t="s">
        <v>564</v>
      </c>
      <c r="CN7" s="295" t="s">
        <v>564</v>
      </c>
      <c r="CO7" s="295" t="s">
        <v>564</v>
      </c>
      <c r="CP7" s="315" t="s">
        <v>564</v>
      </c>
    </row>
    <row r="8" spans="1:94" ht="20" customHeight="1" outlineLevel="1" x14ac:dyDescent="0.65">
      <c r="A8" s="14">
        <v>3</v>
      </c>
      <c r="B8" s="15" t="str">
        <f t="shared" si="3"/>
        <v>182010Ma</v>
      </c>
      <c r="C8" s="16" t="s">
        <v>21</v>
      </c>
      <c r="D8" s="17" t="s">
        <v>34</v>
      </c>
      <c r="E8" s="18" t="s">
        <v>35</v>
      </c>
      <c r="F8" s="18" t="s">
        <v>24</v>
      </c>
      <c r="G8" s="19" t="str">
        <f t="shared" si="4"/>
        <v>H:</v>
      </c>
      <c r="H8" s="19">
        <v>1800</v>
      </c>
      <c r="I8" s="20" t="str">
        <f t="shared" si="5"/>
        <v>W:</v>
      </c>
      <c r="J8" s="20">
        <v>200</v>
      </c>
      <c r="K8" s="21" t="str">
        <f t="shared" si="6"/>
        <v>D:</v>
      </c>
      <c r="L8" s="21">
        <v>1000</v>
      </c>
      <c r="M8" s="22"/>
      <c r="N8" s="23"/>
      <c r="O8" s="24"/>
      <c r="P8" s="25"/>
      <c r="Q8" s="26" t="str">
        <f t="shared" si="7"/>
        <v>Marco  / H:1800W:200D:1000 mm</v>
      </c>
      <c r="S8" s="27" t="s">
        <v>36</v>
      </c>
      <c r="T8" s="28" t="s">
        <v>37</v>
      </c>
      <c r="U8" s="29" t="s">
        <v>38</v>
      </c>
      <c r="V8" s="120" t="str">
        <f>Z1&amp;Z3</f>
        <v>2260</v>
      </c>
      <c r="W8" s="30" t="s">
        <v>45</v>
      </c>
      <c r="X8" s="30"/>
      <c r="Y8" s="30"/>
      <c r="Z8" s="31" t="str">
        <f t="shared" si="0"/>
        <v>2260PaLP</v>
      </c>
      <c r="AA8" s="32" t="str">
        <f t="shared" si="1"/>
        <v>014032</v>
      </c>
      <c r="AD8" s="158" t="str">
        <f t="shared" si="8"/>
        <v>ICV2VCFPW3-</v>
      </c>
      <c r="AE8" s="148" t="s">
        <v>733</v>
      </c>
      <c r="AF8" s="148" t="s">
        <v>697</v>
      </c>
      <c r="AG8" s="148" t="s">
        <v>888</v>
      </c>
      <c r="AH8" s="3" t="s">
        <v>737</v>
      </c>
      <c r="AI8" s="3" t="s">
        <v>716</v>
      </c>
      <c r="AJ8" s="148" t="s">
        <v>735</v>
      </c>
      <c r="AK8" s="148" t="s">
        <v>736</v>
      </c>
      <c r="AL8" s="148" t="s">
        <v>701</v>
      </c>
      <c r="AM8" s="148"/>
      <c r="AN8" s="148" t="s">
        <v>564</v>
      </c>
      <c r="AO8" s="148" t="str">
        <f t="shared" si="9"/>
        <v>I</v>
      </c>
      <c r="AP8" s="3" t="str" cm="1">
        <f t="array" ref="AP8">IFERROR(_xlfn.IFS(AH8="Mini Breaker ","MB",AH8="GoPact ","GP",AH8="EZC 100 ","EZ1",AH8="EZC 250 ","EZ2",AH8="CVS/NSX 250 ","CV2",AH8="CVS/NSX/EZC 630 ","CV6",AH8="NS 1600 ","NS1",AH8="NW/MTZ 4000 ","NW4",AH8="Conmutador PEQ. ","CP",AH8="Conmutador MED. ","CM",AH8="Conmutador GRA. ","CG",AH8="Contactores ","CK"),"")</f>
        <v>CV2</v>
      </c>
      <c r="AQ8" s="3" t="str" cm="1">
        <f t="array" ref="AQ8">_xlfn.IFS(AI8="Horizontal ","H",AI8="Horizontal COMPUESTA ","HC",AI8="Vertical ","V",AI8="Vertical Compacta ","VC",AI8="Vertical Extendida ","VE")</f>
        <v>VC</v>
      </c>
      <c r="AR8" s="148" t="str">
        <f>MID(AJ8,1,1)</f>
        <v>F</v>
      </c>
      <c r="AS8" s="148" t="str">
        <f>MID(AK8,1,1)</f>
        <v>P</v>
      </c>
      <c r="AT8" s="148" t="str" cm="1">
        <f t="array" ref="AT8">IFERROR(_xlfn.IFS(AL8="W:200 ","W1",AL8="W:400 ","W2",AL8="W:720 ","W3",AL8="W:800 ","W4",AL8="W:1120 ","W5"),"")</f>
        <v>W3</v>
      </c>
      <c r="AU8" s="148" t="str" cm="1">
        <f t="array" ref="AU8">IFERROR(_xlfn.IFS(AM8="D:400 ","D1",AM8="D:600 ","D2",AM8="D:1000 ","D3"),"")</f>
        <v/>
      </c>
      <c r="AV8" s="148" t="s">
        <v>629</v>
      </c>
      <c r="AW8" s="148" t="s">
        <v>630</v>
      </c>
      <c r="AX8" s="159" t="str">
        <f t="shared" si="10"/>
        <v>UF.  de CVS/NSX 250 Vertical Compacta Fijo Palanca W:720 -</v>
      </c>
      <c r="BB8" s="271" t="str">
        <f t="shared" si="11"/>
        <v>1AH</v>
      </c>
      <c r="BC8" s="262">
        <f>BC7</f>
        <v>1</v>
      </c>
      <c r="BD8" s="262" t="str">
        <f>BD6</f>
        <v>A</v>
      </c>
      <c r="BE8" s="262" t="str">
        <f t="shared" ref="BE8:BE9" si="12">BE7</f>
        <v>H</v>
      </c>
      <c r="BF8" s="272" t="str" cm="1">
        <f t="array" ref="BF8">IFERROR(_xlfn.IFS(BL8="400 + 400","X",BL8="720","Y",BL8="1120","Z"),"")</f>
        <v/>
      </c>
      <c r="BG8" s="266"/>
      <c r="BH8" s="305"/>
      <c r="BI8" s="306"/>
      <c r="BJ8" s="310"/>
      <c r="BK8" s="297"/>
      <c r="BL8" s="197" t="s">
        <v>564</v>
      </c>
      <c r="BM8" s="198" t="s">
        <v>564</v>
      </c>
      <c r="BN8" s="199" t="s">
        <v>598</v>
      </c>
      <c r="BO8" s="200" t="s">
        <v>564</v>
      </c>
      <c r="BP8" s="200" t="s">
        <v>564</v>
      </c>
      <c r="BQ8" s="200" t="s">
        <v>564</v>
      </c>
      <c r="BR8" s="200" t="s">
        <v>564</v>
      </c>
      <c r="BS8" s="200" t="s">
        <v>564</v>
      </c>
      <c r="BT8" s="200" t="s">
        <v>564</v>
      </c>
      <c r="BU8" s="200" t="s">
        <v>564</v>
      </c>
      <c r="BV8" s="200" t="s">
        <v>564</v>
      </c>
      <c r="BW8" s="200" t="s">
        <v>564</v>
      </c>
      <c r="BX8" s="200" t="s">
        <v>564</v>
      </c>
      <c r="BY8" s="200" t="s">
        <v>564</v>
      </c>
      <c r="BZ8" s="200" t="s">
        <v>564</v>
      </c>
      <c r="CB8" s="271" t="str">
        <f t="shared" si="2"/>
        <v>1AVO</v>
      </c>
      <c r="CC8" s="267" t="s">
        <v>875</v>
      </c>
      <c r="CD8" s="278" t="str" cm="1">
        <f t="array" ref="CD8">IFERROR(_xlfn.IFS(CF8="1/4","M",CF8="1/2","N",CF8="3/4","O",CF8="1","P"),"")</f>
        <v>O</v>
      </c>
      <c r="CE8" s="266"/>
      <c r="CF8" s="201" t="s">
        <v>780</v>
      </c>
      <c r="CG8" s="202" t="s">
        <v>781</v>
      </c>
      <c r="CH8" s="203" t="s">
        <v>598</v>
      </c>
      <c r="CI8" s="295"/>
      <c r="CJ8" s="295"/>
      <c r="CK8" s="295"/>
      <c r="CL8" s="295"/>
      <c r="CM8" s="295"/>
      <c r="CN8" s="295"/>
      <c r="CO8" s="295"/>
      <c r="CP8" s="315"/>
    </row>
    <row r="9" spans="1:94" ht="20" customHeight="1" outlineLevel="1" thickBot="1" x14ac:dyDescent="0.7">
      <c r="A9" s="14">
        <v>4</v>
      </c>
      <c r="B9" s="15" t="str">
        <f t="shared" si="3"/>
        <v>184040Ma</v>
      </c>
      <c r="C9" s="16" t="s">
        <v>21</v>
      </c>
      <c r="D9" s="17" t="s">
        <v>40</v>
      </c>
      <c r="E9" s="18" t="s">
        <v>23</v>
      </c>
      <c r="F9" s="18" t="s">
        <v>41</v>
      </c>
      <c r="G9" s="19" t="str">
        <f t="shared" si="4"/>
        <v>H:</v>
      </c>
      <c r="H9" s="19">
        <v>1800</v>
      </c>
      <c r="I9" s="20" t="str">
        <f t="shared" si="5"/>
        <v>W:</v>
      </c>
      <c r="J9" s="20">
        <v>400</v>
      </c>
      <c r="K9" s="21" t="str">
        <f t="shared" si="6"/>
        <v>D:</v>
      </c>
      <c r="L9" s="21">
        <v>400</v>
      </c>
      <c r="M9" s="22"/>
      <c r="N9" s="23"/>
      <c r="O9" s="24"/>
      <c r="P9" s="25"/>
      <c r="Q9" s="26" t="str">
        <f t="shared" si="7"/>
        <v>Marco  / H:1800W:400D:400 mm</v>
      </c>
      <c r="S9" s="27" t="s">
        <v>42</v>
      </c>
      <c r="T9" s="28" t="s">
        <v>43</v>
      </c>
      <c r="U9" s="29" t="s">
        <v>44</v>
      </c>
      <c r="V9" s="120" t="str">
        <f>Z1&amp;Z2</f>
        <v>2272</v>
      </c>
      <c r="W9" s="30" t="s">
        <v>45</v>
      </c>
      <c r="X9" s="30"/>
      <c r="Y9" s="30"/>
      <c r="Z9" s="31" t="str">
        <f t="shared" si="0"/>
        <v>2272PaPP</v>
      </c>
      <c r="AA9" s="32" t="str">
        <f t="shared" si="1"/>
        <v>014061</v>
      </c>
      <c r="AD9" s="158" t="str">
        <f t="shared" si="8"/>
        <v>ICV2VEFPW3-</v>
      </c>
      <c r="AE9" s="148" t="s">
        <v>733</v>
      </c>
      <c r="AF9" s="148" t="s">
        <v>697</v>
      </c>
      <c r="AG9" s="148" t="s">
        <v>888</v>
      </c>
      <c r="AH9" s="3" t="s">
        <v>737</v>
      </c>
      <c r="AI9" s="3" t="s">
        <v>718</v>
      </c>
      <c r="AJ9" s="148" t="s">
        <v>735</v>
      </c>
      <c r="AK9" s="148" t="s">
        <v>736</v>
      </c>
      <c r="AL9" s="148" t="s">
        <v>701</v>
      </c>
      <c r="AM9" s="148"/>
      <c r="AN9" s="148" t="s">
        <v>564</v>
      </c>
      <c r="AO9" s="148" t="str">
        <f t="shared" si="9"/>
        <v>I</v>
      </c>
      <c r="AP9" s="3" t="str" cm="1">
        <f t="array" ref="AP9">IFERROR(_xlfn.IFS(AH9="Mini Breaker ","MB",AH9="GoPact ","GP",AH9="EZC 100 ","EZ1",AH9="EZC 250 ","EZ2",AH9="CVS/NSX 250 ","CV2",AH9="CVS/NSX/EZC 630 ","CV6",AH9="NS 1600 ","NS1",AH9="NW/MTZ 4000 ","NW4",AH9="Conmutador PEQ. ","CP",AH9="Conmutador MED. ","CM",AH9="Conmutador GRA. ","CG",AH9="Contactores ","CK"),"")</f>
        <v>CV2</v>
      </c>
      <c r="AQ9" s="3" t="str" cm="1">
        <f t="array" ref="AQ9">_xlfn.IFS(AI9="Horizontal ","H",AI9="Horizontal COMPUESTA ","HC",AI9="Vertical ","V",AI9="Vertical Compacta ","VC",AI9="Vertical Extendida ","VE")</f>
        <v>VE</v>
      </c>
      <c r="AR9" s="148" t="str">
        <f>MID(AJ9,1,1)</f>
        <v>F</v>
      </c>
      <c r="AS9" s="148" t="str">
        <f>MID(AK9,1,1)</f>
        <v>P</v>
      </c>
      <c r="AT9" s="148" t="str" cm="1">
        <f t="array" ref="AT9">IFERROR(_xlfn.IFS(AL9="W:200 ","W1",AL9="W:400 ","W2",AL9="W:720 ","W3",AL9="W:800 ","W4",AL9="W:1120 ","W5"),"")</f>
        <v>W3</v>
      </c>
      <c r="AU9" s="148" t="str" cm="1">
        <f t="array" ref="AU9">IFERROR(_xlfn.IFS(AM9="D:400 ","D1",AM9="D:600 ","D2",AM9="D:1000 ","D3"),"")</f>
        <v/>
      </c>
      <c r="AV9" s="148" t="s">
        <v>631</v>
      </c>
      <c r="AW9" s="148" t="s">
        <v>632</v>
      </c>
      <c r="AX9" s="159" t="str">
        <f t="shared" si="10"/>
        <v>UF.  de CVS/NSX 250 Vertical Extendida Fijo Palanca W:720 -</v>
      </c>
      <c r="BB9" s="273" t="str">
        <f t="shared" si="11"/>
        <v>1AH</v>
      </c>
      <c r="BC9" s="274">
        <f>BC8</f>
        <v>1</v>
      </c>
      <c r="BD9" s="274" t="str">
        <f>BD6</f>
        <v>A</v>
      </c>
      <c r="BE9" s="274" t="str">
        <f t="shared" si="12"/>
        <v>H</v>
      </c>
      <c r="BF9" s="275" t="str" cm="1">
        <f t="array" ref="BF9">IFERROR(_xlfn.IFS(BL9="400 + 400","X",BL9="720","Y",BL9="1120","Z"),"")</f>
        <v/>
      </c>
      <c r="BG9" s="266"/>
      <c r="BH9" s="307"/>
      <c r="BI9" s="308"/>
      <c r="BJ9" s="311"/>
      <c r="BK9" s="313"/>
      <c r="BL9" s="205" t="s">
        <v>564</v>
      </c>
      <c r="BM9" s="206" t="s">
        <v>564</v>
      </c>
      <c r="BN9" s="207" t="s">
        <v>564</v>
      </c>
      <c r="BO9" s="208" t="s">
        <v>564</v>
      </c>
      <c r="BP9" s="208" t="s">
        <v>564</v>
      </c>
      <c r="BQ9" s="208" t="s">
        <v>564</v>
      </c>
      <c r="BR9" s="208" t="s">
        <v>564</v>
      </c>
      <c r="BS9" s="208" t="s">
        <v>564</v>
      </c>
      <c r="BT9" s="208" t="s">
        <v>564</v>
      </c>
      <c r="BU9" s="208" t="s">
        <v>564</v>
      </c>
      <c r="BV9" s="208" t="s">
        <v>564</v>
      </c>
      <c r="BW9" s="208" t="s">
        <v>564</v>
      </c>
      <c r="BX9" s="208" t="s">
        <v>564</v>
      </c>
      <c r="BY9" s="208" t="s">
        <v>564</v>
      </c>
      <c r="BZ9" s="208" t="s">
        <v>564</v>
      </c>
      <c r="CB9" s="273" t="str">
        <f t="shared" si="2"/>
        <v>1AVP</v>
      </c>
      <c r="CC9" s="279" t="s">
        <v>875</v>
      </c>
      <c r="CD9" s="280" t="str" cm="1">
        <f t="array" ref="CD9">IFERROR(_xlfn.IFS(CF9="1/4","M",CF9="1/2","N",CF9="3/4","O",CF9="1","P"),"")</f>
        <v>P</v>
      </c>
      <c r="CE9" s="266"/>
      <c r="CF9" s="209" t="s">
        <v>604</v>
      </c>
      <c r="CG9" s="210" t="s">
        <v>782</v>
      </c>
      <c r="CH9" s="211" t="s">
        <v>564</v>
      </c>
      <c r="CI9" s="212" t="s">
        <v>564</v>
      </c>
      <c r="CJ9" s="212" t="s">
        <v>564</v>
      </c>
      <c r="CK9" s="212" t="s">
        <v>564</v>
      </c>
      <c r="CL9" s="212" t="s">
        <v>564</v>
      </c>
      <c r="CM9" s="212" t="s">
        <v>564</v>
      </c>
      <c r="CN9" s="212" t="s">
        <v>564</v>
      </c>
      <c r="CO9" s="212" t="s">
        <v>564</v>
      </c>
      <c r="CP9" s="213" t="s">
        <v>564</v>
      </c>
    </row>
    <row r="10" spans="1:94" ht="20" customHeight="1" outlineLevel="1" x14ac:dyDescent="0.65">
      <c r="A10" s="14">
        <v>5</v>
      </c>
      <c r="B10" s="15" t="str">
        <f t="shared" si="3"/>
        <v>184060Ma</v>
      </c>
      <c r="C10" s="16" t="s">
        <v>21</v>
      </c>
      <c r="D10" s="17" t="s">
        <v>46</v>
      </c>
      <c r="E10" s="18" t="s">
        <v>29</v>
      </c>
      <c r="F10" s="18" t="s">
        <v>41</v>
      </c>
      <c r="G10" s="19" t="str">
        <f t="shared" si="4"/>
        <v>H:</v>
      </c>
      <c r="H10" s="19">
        <v>1800</v>
      </c>
      <c r="I10" s="20" t="str">
        <f t="shared" si="5"/>
        <v>W:</v>
      </c>
      <c r="J10" s="20">
        <v>400</v>
      </c>
      <c r="K10" s="21" t="str">
        <f t="shared" si="6"/>
        <v>D:</v>
      </c>
      <c r="L10" s="21">
        <v>600</v>
      </c>
      <c r="M10" s="22"/>
      <c r="N10" s="23"/>
      <c r="O10" s="24"/>
      <c r="P10" s="25"/>
      <c r="Q10" s="26" t="str">
        <f t="shared" si="7"/>
        <v>Marco  / H:1800W:400D:600 mm</v>
      </c>
      <c r="S10" s="27" t="s">
        <v>47</v>
      </c>
      <c r="T10" s="28" t="s">
        <v>48</v>
      </c>
      <c r="U10" s="29" t="s">
        <v>49</v>
      </c>
      <c r="V10" s="120" t="str">
        <f>Z2&amp;Z3</f>
        <v>7260</v>
      </c>
      <c r="W10" s="30" t="s">
        <v>50</v>
      </c>
      <c r="X10" s="30"/>
      <c r="Y10" s="30"/>
      <c r="Z10" s="31" t="str">
        <f t="shared" si="0"/>
        <v>7260PaS</v>
      </c>
      <c r="AA10" s="32" t="str">
        <f t="shared" si="1"/>
        <v>010057</v>
      </c>
      <c r="AD10" s="158" t="str">
        <f t="shared" si="8"/>
        <v>ICV2VCFMW3-</v>
      </c>
      <c r="AE10" s="148" t="s">
        <v>733</v>
      </c>
      <c r="AF10" s="148" t="s">
        <v>697</v>
      </c>
      <c r="AG10" s="148" t="s">
        <v>888</v>
      </c>
      <c r="AH10" s="3" t="s">
        <v>737</v>
      </c>
      <c r="AI10" s="3" t="s">
        <v>716</v>
      </c>
      <c r="AJ10" s="148" t="s">
        <v>735</v>
      </c>
      <c r="AK10" s="148" t="s">
        <v>738</v>
      </c>
      <c r="AL10" s="148" t="s">
        <v>701</v>
      </c>
      <c r="AM10" s="148"/>
      <c r="AN10" s="148" t="s">
        <v>564</v>
      </c>
      <c r="AO10" s="148" t="str">
        <f t="shared" si="9"/>
        <v>I</v>
      </c>
      <c r="AP10" s="3" t="str" cm="1">
        <f t="array" ref="AP10">IFERROR(_xlfn.IFS(AH10="Mini Breaker ","MB",AH10="GoPact ","GP",AH10="EZC 100 ","EZ1",AH10="EZC 250 ","EZ2",AH10="CVS/NSX 250 ","CV2",AH10="CVS/NSX/EZC 630 ","CV6",AH10="NS 1600 ","NS1",AH10="NW/MTZ 4000 ","NW4",AH10="Conmutador PEQ. ","CP",AH10="Conmutador MED. ","CM",AH10="Conmutador GRA. ","CG",AH10="Contactores ","CK"),"")</f>
        <v>CV2</v>
      </c>
      <c r="AQ10" s="3" t="str" cm="1">
        <f t="array" ref="AQ10">_xlfn.IFS(AI10="Horizontal ","H",AI10="Horizontal COMPUESTA ","HC",AI10="Vertical ","V",AI10="Vertical Compacta ","VC",AI10="Vertical Extendida ","VE")</f>
        <v>VC</v>
      </c>
      <c r="AR10" s="148" t="str">
        <f>MID(AJ10,1,1)</f>
        <v>F</v>
      </c>
      <c r="AS10" s="148" t="str">
        <f>MID(AK10,1,1)</f>
        <v>M</v>
      </c>
      <c r="AT10" s="148" t="str" cm="1">
        <f t="array" ref="AT10">IFERROR(_xlfn.IFS(AL10="W:200 ","W1",AL10="W:400 ","W2",AL10="W:720 ","W3",AL10="W:800 ","W4",AL10="W:1120 ","W5"),"")</f>
        <v>W3</v>
      </c>
      <c r="AU10" s="148" t="str" cm="1">
        <f t="array" ref="AU10">IFERROR(_xlfn.IFS(AM10="D:400 ","D1",AM10="D:600 ","D2",AM10="D:1000 ","D3"),"")</f>
        <v/>
      </c>
      <c r="AV10" s="148" t="s">
        <v>633</v>
      </c>
      <c r="AW10" s="148" t="s">
        <v>630</v>
      </c>
      <c r="AX10" s="159" t="str">
        <f t="shared" si="10"/>
        <v>UF.  de CVS/NSX 250 Vertical Compacta Fijo Motorizado W:720 -</v>
      </c>
      <c r="BB10" s="260" t="str">
        <f t="shared" si="11"/>
        <v>2BHY</v>
      </c>
      <c r="BC10" s="260" cm="1">
        <f t="array" ref="BC10">_xlfn.IFS(BJ10="10 - 25",1,BJ10="10 - 40",2,BJ10="10 - 65",3,BJ10="10 - 85",4)</f>
        <v>2</v>
      </c>
      <c r="BD10" s="260" t="str" cm="1">
        <f t="array" ref="BD10">_xlfn.IFS(BK10="630","A",BK10="1250","B",BK10="1600","C",BK10="2000","D",BK10="2500","E",BK10="3200","F",BK10="4000","G",BK10="5000","H",BK10="6300","I",BK10="7000","J")</f>
        <v>B</v>
      </c>
      <c r="BE10" s="260" t="s">
        <v>1</v>
      </c>
      <c r="BF10" s="260" t="str" cm="1">
        <f t="array" ref="BF10">IFERROR(_xlfn.IFS(BL10="400 + 400","X",BL10="720","Y",BL10="1120","Z"),"")</f>
        <v>Y</v>
      </c>
      <c r="BG10" s="266"/>
      <c r="BH10" s="328" t="s">
        <v>768</v>
      </c>
      <c r="BI10" s="329" t="s">
        <v>783</v>
      </c>
      <c r="BJ10" s="314" t="s">
        <v>607</v>
      </c>
      <c r="BK10" s="314" t="s">
        <v>749</v>
      </c>
      <c r="BL10" s="214" t="s">
        <v>170</v>
      </c>
      <c r="BM10" s="215" t="s">
        <v>784</v>
      </c>
      <c r="BN10" s="216" t="s">
        <v>596</v>
      </c>
      <c r="BO10" s="217" t="s">
        <v>785</v>
      </c>
      <c r="BP10" s="217" t="s">
        <v>786</v>
      </c>
      <c r="BQ10" s="217" t="s">
        <v>787</v>
      </c>
      <c r="BR10" s="217" t="s">
        <v>788</v>
      </c>
      <c r="BS10" s="217" t="s">
        <v>564</v>
      </c>
      <c r="BT10" s="217" t="s">
        <v>564</v>
      </c>
      <c r="BU10" s="217" t="s">
        <v>564</v>
      </c>
      <c r="BV10" s="217" t="s">
        <v>564</v>
      </c>
      <c r="BW10" s="217" t="s">
        <v>564</v>
      </c>
      <c r="BX10" s="217" t="s">
        <v>564</v>
      </c>
      <c r="BY10" s="217" t="s">
        <v>564</v>
      </c>
      <c r="BZ10" s="217" t="s">
        <v>564</v>
      </c>
      <c r="CB10" s="260" t="str">
        <f t="shared" si="2"/>
        <v>2BVM</v>
      </c>
      <c r="CC10" s="260" t="s">
        <v>875</v>
      </c>
      <c r="CD10" s="260" t="str" cm="1">
        <f t="array" ref="CD10">IFERROR(_xlfn.IFS(CF10="1/4","M",CF10="1/2","N",CF10="3/4","O",CF10="1","P"),"")</f>
        <v>M</v>
      </c>
      <c r="CE10" s="266"/>
      <c r="CF10" s="218" t="s">
        <v>769</v>
      </c>
      <c r="CG10" s="219" t="s">
        <v>789</v>
      </c>
      <c r="CH10" s="220" t="s">
        <v>596</v>
      </c>
      <c r="CI10" s="221" t="s">
        <v>790</v>
      </c>
      <c r="CJ10" s="221" t="s">
        <v>791</v>
      </c>
      <c r="CK10" s="221" t="s">
        <v>792</v>
      </c>
      <c r="CL10" s="221" t="s">
        <v>793</v>
      </c>
      <c r="CM10" s="221" t="s">
        <v>564</v>
      </c>
      <c r="CN10" s="221" t="s">
        <v>564</v>
      </c>
      <c r="CO10" s="221" t="s">
        <v>564</v>
      </c>
      <c r="CP10" s="221" t="s">
        <v>564</v>
      </c>
    </row>
    <row r="11" spans="1:94" ht="20" customHeight="1" outlineLevel="1" x14ac:dyDescent="0.65">
      <c r="A11" s="14">
        <v>6</v>
      </c>
      <c r="B11" s="15" t="str">
        <f t="shared" si="3"/>
        <v>184010Ma</v>
      </c>
      <c r="C11" s="16" t="s">
        <v>21</v>
      </c>
      <c r="D11" s="17" t="s">
        <v>51</v>
      </c>
      <c r="E11" s="18" t="s">
        <v>35</v>
      </c>
      <c r="F11" s="18" t="s">
        <v>41</v>
      </c>
      <c r="G11" s="19" t="str">
        <f t="shared" si="4"/>
        <v>H:</v>
      </c>
      <c r="H11" s="19">
        <v>1800</v>
      </c>
      <c r="I11" s="20" t="str">
        <f t="shared" si="5"/>
        <v>W:</v>
      </c>
      <c r="J11" s="20">
        <v>400</v>
      </c>
      <c r="K11" s="21" t="str">
        <f t="shared" si="6"/>
        <v>D:</v>
      </c>
      <c r="L11" s="21">
        <v>1000</v>
      </c>
      <c r="M11" s="22"/>
      <c r="N11" s="23"/>
      <c r="O11" s="24"/>
      <c r="P11" s="25"/>
      <c r="Q11" s="26" t="str">
        <f t="shared" si="7"/>
        <v>Marco  / H:1800W:400D:1000 mm</v>
      </c>
      <c r="S11" s="27" t="s">
        <v>52</v>
      </c>
      <c r="T11" s="28" t="s">
        <v>53</v>
      </c>
      <c r="U11" s="29" t="s">
        <v>54</v>
      </c>
      <c r="V11" s="120" t="str">
        <f>Z2&amp;Z3</f>
        <v>7260</v>
      </c>
      <c r="W11" s="30" t="s">
        <v>55</v>
      </c>
      <c r="X11" s="30"/>
      <c r="Y11" s="30"/>
      <c r="Z11" s="31" t="str">
        <f t="shared" si="0"/>
        <v>7260BaE</v>
      </c>
      <c r="AA11" s="32" t="str">
        <f t="shared" si="1"/>
        <v>015007</v>
      </c>
      <c r="AD11" s="158" t="str">
        <f t="shared" si="8"/>
        <v>ICV2VEFMW3-</v>
      </c>
      <c r="AE11" s="148" t="s">
        <v>733</v>
      </c>
      <c r="AF11" s="148" t="s">
        <v>697</v>
      </c>
      <c r="AG11" s="148" t="s">
        <v>888</v>
      </c>
      <c r="AH11" s="3" t="s">
        <v>737</v>
      </c>
      <c r="AI11" s="3" t="s">
        <v>718</v>
      </c>
      <c r="AJ11" s="148" t="s">
        <v>735</v>
      </c>
      <c r="AK11" s="148" t="s">
        <v>738</v>
      </c>
      <c r="AL11" s="148" t="s">
        <v>701</v>
      </c>
      <c r="AM11" s="148"/>
      <c r="AN11" s="148" t="s">
        <v>564</v>
      </c>
      <c r="AO11" s="148" t="str">
        <f t="shared" si="9"/>
        <v>I</v>
      </c>
      <c r="AP11" s="3" t="str" cm="1">
        <f t="array" ref="AP11">IFERROR(_xlfn.IFS(AH11="Mini Breaker ","MB",AH11="GoPact ","GP",AH11="EZC 100 ","EZ1",AH11="EZC 250 ","EZ2",AH11="CVS/NSX 250 ","CV2",AH11="CVS/NSX/EZC 630 ","CV6",AH11="NS 1600 ","NS1",AH11="NW/MTZ 4000 ","NW4",AH11="Conmutador PEQ. ","CP",AH11="Conmutador MED. ","CM",AH11="Conmutador GRA. ","CG",AH11="Contactores ","CK"),"")</f>
        <v>CV2</v>
      </c>
      <c r="AQ11" s="3" t="str" cm="1">
        <f t="array" ref="AQ11">_xlfn.IFS(AI11="Horizontal ","H",AI11="Horizontal COMPUESTA ","HC",AI11="Vertical ","V",AI11="Vertical Compacta ","VC",AI11="Vertical Extendida ","VE")</f>
        <v>VE</v>
      </c>
      <c r="AR11" s="148" t="str">
        <f>MID(AJ11,1,1)</f>
        <v>F</v>
      </c>
      <c r="AS11" s="148" t="str">
        <f>MID(AK11,1,1)</f>
        <v>M</v>
      </c>
      <c r="AT11" s="148" t="str" cm="1">
        <f t="array" ref="AT11">IFERROR(_xlfn.IFS(AL11="W:200 ","W1",AL11="W:400 ","W2",AL11="W:720 ","W3",AL11="W:800 ","W4",AL11="W:1120 ","W5"),"")</f>
        <v>W3</v>
      </c>
      <c r="AU11" s="148" t="str" cm="1">
        <f t="array" ref="AU11">IFERROR(_xlfn.IFS(AM11="D:400 ","D1",AM11="D:600 ","D2",AM11="D:1000 ","D3"),"")</f>
        <v/>
      </c>
      <c r="AV11" s="148" t="s">
        <v>634</v>
      </c>
      <c r="AW11" s="148" t="s">
        <v>632</v>
      </c>
      <c r="AX11" s="159" t="str">
        <f t="shared" si="10"/>
        <v>UF.  de CVS/NSX 250 Vertical Extendida Fijo Motorizado W:720 -</v>
      </c>
      <c r="BB11" s="261" t="str">
        <f t="shared" si="11"/>
        <v>2BHZ</v>
      </c>
      <c r="BC11" s="261">
        <f>BC10</f>
        <v>2</v>
      </c>
      <c r="BD11" s="261" t="str">
        <f>BD10</f>
        <v>B</v>
      </c>
      <c r="BE11" s="261" t="str">
        <f>BE10</f>
        <v>H</v>
      </c>
      <c r="BF11" s="261" t="str" cm="1">
        <f t="array" ref="BF11">IFERROR(_xlfn.IFS(BL11="400 + 400","X",BL11="720","Y",BL11="1120","Z"),"")</f>
        <v>Z</v>
      </c>
      <c r="BG11" s="266"/>
      <c r="BH11" s="306"/>
      <c r="BI11" s="330"/>
      <c r="BJ11" s="296"/>
      <c r="BK11" s="296"/>
      <c r="BL11" s="222" t="s">
        <v>172</v>
      </c>
      <c r="BM11" s="223" t="s">
        <v>794</v>
      </c>
      <c r="BN11" s="203" t="s">
        <v>597</v>
      </c>
      <c r="BO11" s="204" t="s">
        <v>795</v>
      </c>
      <c r="BP11" s="204" t="s">
        <v>796</v>
      </c>
      <c r="BQ11" s="204" t="s">
        <v>797</v>
      </c>
      <c r="BR11" s="204" t="s">
        <v>798</v>
      </c>
      <c r="BS11" s="204" t="s">
        <v>564</v>
      </c>
      <c r="BT11" s="204" t="s">
        <v>564</v>
      </c>
      <c r="BU11" s="204" t="s">
        <v>564</v>
      </c>
      <c r="BV11" s="204" t="s">
        <v>564</v>
      </c>
      <c r="BW11" s="204" t="s">
        <v>564</v>
      </c>
      <c r="BX11" s="204" t="s">
        <v>564</v>
      </c>
      <c r="BY11" s="204" t="s">
        <v>564</v>
      </c>
      <c r="BZ11" s="204" t="s">
        <v>564</v>
      </c>
      <c r="CB11" s="261" t="str">
        <f t="shared" si="2"/>
        <v>2BVN</v>
      </c>
      <c r="CC11" s="261" t="s">
        <v>875</v>
      </c>
      <c r="CD11" s="261" t="str" cm="1">
        <f t="array" ref="CD11">IFERROR(_xlfn.IFS(CF11="1/4","M",CF11="1/2","N",CF11="3/4","O",CF11="1","P"),"")</f>
        <v>N</v>
      </c>
      <c r="CE11" s="266"/>
      <c r="CF11" s="224" t="s">
        <v>774</v>
      </c>
      <c r="CG11" s="225" t="s">
        <v>799</v>
      </c>
      <c r="CH11" s="199" t="s">
        <v>597</v>
      </c>
      <c r="CI11" s="299" t="s">
        <v>800</v>
      </c>
      <c r="CJ11" s="299" t="s">
        <v>801</v>
      </c>
      <c r="CK11" s="299" t="s">
        <v>802</v>
      </c>
      <c r="CL11" s="299" t="s">
        <v>803</v>
      </c>
      <c r="CM11" s="299" t="s">
        <v>564</v>
      </c>
      <c r="CN11" s="299" t="s">
        <v>564</v>
      </c>
      <c r="CO11" s="299" t="s">
        <v>564</v>
      </c>
      <c r="CP11" s="299" t="s">
        <v>564</v>
      </c>
    </row>
    <row r="12" spans="1:94" ht="20" customHeight="1" outlineLevel="1" x14ac:dyDescent="0.65">
      <c r="A12" s="14">
        <v>7</v>
      </c>
      <c r="B12" s="15" t="str">
        <f t="shared" si="3"/>
        <v>187240Ma</v>
      </c>
      <c r="C12" s="16" t="s">
        <v>21</v>
      </c>
      <c r="D12" s="17" t="s">
        <v>56</v>
      </c>
      <c r="E12" s="18" t="s">
        <v>23</v>
      </c>
      <c r="F12" s="18" t="s">
        <v>57</v>
      </c>
      <c r="G12" s="19" t="str">
        <f t="shared" si="4"/>
        <v>H:</v>
      </c>
      <c r="H12" s="19">
        <v>1800</v>
      </c>
      <c r="I12" s="20" t="str">
        <f t="shared" si="5"/>
        <v>W:</v>
      </c>
      <c r="J12" s="20">
        <v>720</v>
      </c>
      <c r="K12" s="21" t="str">
        <f t="shared" si="6"/>
        <v>D:</v>
      </c>
      <c r="L12" s="21">
        <v>400</v>
      </c>
      <c r="M12" s="22"/>
      <c r="N12" s="23"/>
      <c r="O12" s="24"/>
      <c r="P12" s="25"/>
      <c r="Q12" s="26" t="str">
        <f t="shared" si="7"/>
        <v>Marco  / H:1800W:720D:400 mm</v>
      </c>
      <c r="S12" s="27" t="s">
        <v>58</v>
      </c>
      <c r="T12" s="28" t="s">
        <v>59</v>
      </c>
      <c r="U12" s="29" t="s">
        <v>60</v>
      </c>
      <c r="V12" s="120" t="str">
        <f>Z3</f>
        <v>60</v>
      </c>
      <c r="W12" s="30" t="s">
        <v>61</v>
      </c>
      <c r="X12" s="30"/>
      <c r="Y12" s="30"/>
      <c r="Z12" s="31" t="str">
        <f t="shared" si="0"/>
        <v>60ZoL</v>
      </c>
      <c r="AA12" s="32" t="str">
        <f t="shared" si="1"/>
        <v>010177</v>
      </c>
      <c r="AD12" s="158" t="str">
        <f t="shared" si="8"/>
        <v>ICV2VFPW2-</v>
      </c>
      <c r="AE12" s="148" t="s">
        <v>733</v>
      </c>
      <c r="AF12" s="148" t="s">
        <v>697</v>
      </c>
      <c r="AG12" s="148" t="s">
        <v>888</v>
      </c>
      <c r="AH12" s="3" t="s">
        <v>737</v>
      </c>
      <c r="AI12" s="3" t="s">
        <v>522</v>
      </c>
      <c r="AJ12" s="148" t="s">
        <v>735</v>
      </c>
      <c r="AK12" s="148" t="s">
        <v>736</v>
      </c>
      <c r="AL12" s="148" t="s">
        <v>700</v>
      </c>
      <c r="AM12" s="148"/>
      <c r="AN12" s="148" t="s">
        <v>564</v>
      </c>
      <c r="AO12" s="148" t="str">
        <f t="shared" si="9"/>
        <v>I</v>
      </c>
      <c r="AP12" s="3" t="str" cm="1">
        <f t="array" ref="AP12">IFERROR(_xlfn.IFS(AH12="Mini Breaker ","MB",AH12="GoPact ","GP",AH12="EZC 100 ","EZ1",AH12="EZC 250 ","EZ2",AH12="CVS/NSX 250 ","CV2",AH12="CVS/NSX/EZC 630 ","CV6",AH12="NS 1600 ","NS1",AH12="NW/MTZ 4000 ","NW4",AH12="Conmutador PEQ. ","CP",AH12="Conmutador MED. ","CM",AH12="Conmutador GRA. ","CG",AH12="Contactores ","CK"),"")</f>
        <v>CV2</v>
      </c>
      <c r="AQ12" s="3" t="str" cm="1">
        <f t="array" ref="AQ12">_xlfn.IFS(AI12="Horizontal ","H",AI12="Horizontal COMPUESTA ","HC",AI12="Vertical ","V",AI12="Vertical Compacta ","VC",AI12="Vertical Extendida ","VE")</f>
        <v>V</v>
      </c>
      <c r="AR12" s="148" t="str">
        <f>MID(AJ12,1,1)</f>
        <v>F</v>
      </c>
      <c r="AS12" s="148" t="str">
        <f>MID(AK12,1,1)</f>
        <v>P</v>
      </c>
      <c r="AT12" s="148" t="str" cm="1">
        <f t="array" ref="AT12">IFERROR(_xlfn.IFS(AL12="W:200 ","W1",AL12="W:400 ","W2",AL12="W:720 ","W3",AL12="W:800 ","W4",AL12="W:1120 ","W5"),"")</f>
        <v>W2</v>
      </c>
      <c r="AU12" s="148" t="str" cm="1">
        <f t="array" ref="AU12">IFERROR(_xlfn.IFS(AM12="D:400 ","D1",AM12="D:600 ","D2",AM12="D:1000 ","D3"),"")</f>
        <v/>
      </c>
      <c r="AV12" s="148" t="s">
        <v>635</v>
      </c>
      <c r="AW12" s="148" t="s">
        <v>636</v>
      </c>
      <c r="AX12" s="159" t="str">
        <f t="shared" si="10"/>
        <v>UF.  de CVS/NSX 250 Vertical Fijo Palanca W:400 -</v>
      </c>
      <c r="BB12" s="261" t="str">
        <f t="shared" si="11"/>
        <v>2BHX</v>
      </c>
      <c r="BC12" s="261">
        <f t="shared" ref="BC12:BC14" si="13">BC11</f>
        <v>2</v>
      </c>
      <c r="BD12" s="261" t="str">
        <f>BD10</f>
        <v>B</v>
      </c>
      <c r="BE12" s="261" t="str">
        <f t="shared" ref="BE12:BE14" si="14">BE11</f>
        <v>H</v>
      </c>
      <c r="BF12" s="261" t="str" cm="1">
        <f t="array" ref="BF12">IFERROR(_xlfn.IFS(BL12="400 + 400","X",BL12="720","Y",BL12="1120","Z"),"")</f>
        <v>X</v>
      </c>
      <c r="BG12" s="266"/>
      <c r="BH12" s="306"/>
      <c r="BI12" s="330"/>
      <c r="BJ12" s="296"/>
      <c r="BK12" s="296"/>
      <c r="BL12" s="222" t="s">
        <v>804</v>
      </c>
      <c r="BM12" s="223" t="s">
        <v>805</v>
      </c>
      <c r="BN12" s="203" t="s">
        <v>598</v>
      </c>
      <c r="BO12" s="204" t="s">
        <v>795</v>
      </c>
      <c r="BP12" s="204" t="s">
        <v>796</v>
      </c>
      <c r="BQ12" s="204" t="s">
        <v>797</v>
      </c>
      <c r="BR12" s="204" t="s">
        <v>798</v>
      </c>
      <c r="BS12" s="204" t="s">
        <v>564</v>
      </c>
      <c r="BT12" s="204" t="s">
        <v>564</v>
      </c>
      <c r="BU12" s="204" t="s">
        <v>564</v>
      </c>
      <c r="BV12" s="204" t="s">
        <v>564</v>
      </c>
      <c r="BW12" s="204" t="s">
        <v>564</v>
      </c>
      <c r="BX12" s="204" t="s">
        <v>564</v>
      </c>
      <c r="BY12" s="204" t="s">
        <v>564</v>
      </c>
      <c r="BZ12" s="204" t="s">
        <v>564</v>
      </c>
      <c r="CB12" s="261" t="str">
        <f t="shared" si="2"/>
        <v>2BVO</v>
      </c>
      <c r="CC12" s="261" t="s">
        <v>875</v>
      </c>
      <c r="CD12" s="261" t="str" cm="1">
        <f t="array" ref="CD12">IFERROR(_xlfn.IFS(CF12="1/4","M",CF12="1/2","N",CF12="3/4","O",CF12="1","P"),"")</f>
        <v>O</v>
      </c>
      <c r="CE12" s="266"/>
      <c r="CF12" s="224" t="s">
        <v>780</v>
      </c>
      <c r="CG12" s="225" t="s">
        <v>806</v>
      </c>
      <c r="CH12" s="199" t="s">
        <v>598</v>
      </c>
      <c r="CI12" s="299"/>
      <c r="CJ12" s="299"/>
      <c r="CK12" s="299"/>
      <c r="CL12" s="299"/>
      <c r="CM12" s="299"/>
      <c r="CN12" s="299"/>
      <c r="CO12" s="299"/>
      <c r="CP12" s="299"/>
    </row>
    <row r="13" spans="1:94" ht="20" customHeight="1" outlineLevel="1" x14ac:dyDescent="0.65">
      <c r="A13" s="14">
        <v>8</v>
      </c>
      <c r="B13" s="15" t="str">
        <f t="shared" si="3"/>
        <v>187260Ma</v>
      </c>
      <c r="C13" s="16" t="s">
        <v>21</v>
      </c>
      <c r="D13" s="17" t="s">
        <v>62</v>
      </c>
      <c r="E13" s="18" t="s">
        <v>29</v>
      </c>
      <c r="F13" s="18" t="s">
        <v>57</v>
      </c>
      <c r="G13" s="19" t="str">
        <f t="shared" si="4"/>
        <v>H:</v>
      </c>
      <c r="H13" s="19">
        <v>1800</v>
      </c>
      <c r="I13" s="20" t="str">
        <f t="shared" si="5"/>
        <v>W:</v>
      </c>
      <c r="J13" s="20">
        <v>720</v>
      </c>
      <c r="K13" s="21" t="str">
        <f t="shared" si="6"/>
        <v>D:</v>
      </c>
      <c r="L13" s="21">
        <v>600</v>
      </c>
      <c r="M13" s="22"/>
      <c r="N13" s="23"/>
      <c r="O13" s="24"/>
      <c r="P13" s="25"/>
      <c r="Q13" s="26" t="str">
        <f t="shared" si="7"/>
        <v>Marco  / H:1800W:720D:600 mm</v>
      </c>
      <c r="S13" s="27" t="s">
        <v>63</v>
      </c>
      <c r="T13" s="28" t="s">
        <v>64</v>
      </c>
      <c r="U13" s="29" t="s">
        <v>60</v>
      </c>
      <c r="V13" s="120" t="str">
        <f>Z2</f>
        <v>72</v>
      </c>
      <c r="W13" s="30" t="s">
        <v>65</v>
      </c>
      <c r="X13" s="30"/>
      <c r="Y13" s="30"/>
      <c r="Z13" s="31" t="str">
        <f t="shared" si="0"/>
        <v>72ZoF</v>
      </c>
      <c r="AA13" s="32" t="str">
        <f t="shared" si="1"/>
        <v>010178</v>
      </c>
      <c r="AD13" s="158" t="str">
        <f t="shared" si="8"/>
        <v>ICV2VFMW2-</v>
      </c>
      <c r="AE13" s="148" t="s">
        <v>733</v>
      </c>
      <c r="AF13" s="148" t="s">
        <v>697</v>
      </c>
      <c r="AG13" s="148" t="s">
        <v>888</v>
      </c>
      <c r="AH13" s="3" t="s">
        <v>737</v>
      </c>
      <c r="AI13" s="3" t="s">
        <v>522</v>
      </c>
      <c r="AJ13" s="148" t="s">
        <v>735</v>
      </c>
      <c r="AK13" s="148" t="s">
        <v>738</v>
      </c>
      <c r="AL13" s="148" t="s">
        <v>700</v>
      </c>
      <c r="AM13" s="148"/>
      <c r="AN13" s="148" t="s">
        <v>564</v>
      </c>
      <c r="AO13" s="148" t="str">
        <f t="shared" si="9"/>
        <v>I</v>
      </c>
      <c r="AP13" s="3" t="str" cm="1">
        <f t="array" ref="AP13">IFERROR(_xlfn.IFS(AH13="Mini Breaker ","MB",AH13="GoPact ","GP",AH13="EZC 100 ","EZ1",AH13="EZC 250 ","EZ2",AH13="CVS/NSX 250 ","CV2",AH13="CVS/NSX/EZC 630 ","CV6",AH13="NS 1600 ","NS1",AH13="NW/MTZ 4000 ","NW4",AH13="Conmutador PEQ. ","CP",AH13="Conmutador MED. ","CM",AH13="Conmutador GRA. ","CG",AH13="Contactores ","CK"),"")</f>
        <v>CV2</v>
      </c>
      <c r="AQ13" s="3" t="str" cm="1">
        <f t="array" ref="AQ13">_xlfn.IFS(AI13="Horizontal ","H",AI13="Horizontal COMPUESTA ","HC",AI13="Vertical ","V",AI13="Vertical Compacta ","VC",AI13="Vertical Extendida ","VE")</f>
        <v>V</v>
      </c>
      <c r="AR13" s="148" t="str">
        <f>MID(AJ13,1,1)</f>
        <v>F</v>
      </c>
      <c r="AS13" s="148" t="str">
        <f>MID(AK13,1,1)</f>
        <v>M</v>
      </c>
      <c r="AT13" s="148" t="str" cm="1">
        <f t="array" ref="AT13">IFERROR(_xlfn.IFS(AL13="W:200 ","W1",AL13="W:400 ","W2",AL13="W:720 ","W3",AL13="W:800 ","W4",AL13="W:1120 ","W5"),"")</f>
        <v>W2</v>
      </c>
      <c r="AU13" s="148" t="str" cm="1">
        <f t="array" ref="AU13">IFERROR(_xlfn.IFS(AM13="D:400 ","D1",AM13="D:600 ","D2",AM13="D:1000 ","D3"),"")</f>
        <v/>
      </c>
      <c r="AV13" s="148" t="s">
        <v>637</v>
      </c>
      <c r="AW13" s="148" t="s">
        <v>636</v>
      </c>
      <c r="AX13" s="159" t="str">
        <f t="shared" si="10"/>
        <v>UF.  de CVS/NSX 250 Vertical Fijo Motorizado W:400 -</v>
      </c>
      <c r="BB13" s="261" t="str">
        <f t="shared" si="11"/>
        <v>2BH</v>
      </c>
      <c r="BC13" s="261">
        <f t="shared" si="13"/>
        <v>2</v>
      </c>
      <c r="BD13" s="261" t="str">
        <f>BD10</f>
        <v>B</v>
      </c>
      <c r="BE13" s="261" t="str">
        <f t="shared" si="14"/>
        <v>H</v>
      </c>
      <c r="BF13" s="261" t="str" cm="1">
        <f t="array" ref="BF13">IFERROR(_xlfn.IFS(BL13="400 + 400","X",BL13="720","Y",BL13="1120","Z"),"")</f>
        <v/>
      </c>
      <c r="BG13" s="266"/>
      <c r="BH13" s="306"/>
      <c r="BI13" s="330"/>
      <c r="BJ13" s="296"/>
      <c r="BK13" s="296"/>
      <c r="BL13" s="222" t="s">
        <v>564</v>
      </c>
      <c r="BM13" s="223" t="s">
        <v>564</v>
      </c>
      <c r="BN13" s="203" t="s">
        <v>599</v>
      </c>
      <c r="BO13" s="204" t="s">
        <v>564</v>
      </c>
      <c r="BP13" s="204" t="s">
        <v>564</v>
      </c>
      <c r="BQ13" s="204" t="s">
        <v>564</v>
      </c>
      <c r="BR13" s="204" t="s">
        <v>564</v>
      </c>
      <c r="BS13" s="204" t="s">
        <v>807</v>
      </c>
      <c r="BT13" s="204" t="s">
        <v>807</v>
      </c>
      <c r="BU13" s="204" t="s">
        <v>807</v>
      </c>
      <c r="BV13" s="204" t="s">
        <v>564</v>
      </c>
      <c r="BW13" s="204" t="s">
        <v>564</v>
      </c>
      <c r="BX13" s="204" t="s">
        <v>564</v>
      </c>
      <c r="BY13" s="204" t="s">
        <v>564</v>
      </c>
      <c r="BZ13" s="204" t="s">
        <v>564</v>
      </c>
      <c r="CB13" s="261" t="str">
        <f t="shared" si="2"/>
        <v>2BVP</v>
      </c>
      <c r="CC13" s="261" t="s">
        <v>875</v>
      </c>
      <c r="CD13" s="261" t="str" cm="1">
        <f t="array" ref="CD13">IFERROR(_xlfn.IFS(CF13="1/4","M",CF13="1/2","N",CF13="3/4","O",CF13="1","P"),"")</f>
        <v>P</v>
      </c>
      <c r="CE13" s="266"/>
      <c r="CF13" s="224" t="s">
        <v>604</v>
      </c>
      <c r="CG13" s="225" t="s">
        <v>808</v>
      </c>
      <c r="CH13" s="199" t="s">
        <v>599</v>
      </c>
      <c r="CI13" s="226" t="s">
        <v>564</v>
      </c>
      <c r="CJ13" s="226" t="s">
        <v>564</v>
      </c>
      <c r="CK13" s="226" t="s">
        <v>564</v>
      </c>
      <c r="CL13" s="226" t="s">
        <v>564</v>
      </c>
      <c r="CM13" s="226" t="s">
        <v>809</v>
      </c>
      <c r="CN13" s="226" t="s">
        <v>809</v>
      </c>
      <c r="CO13" s="226" t="s">
        <v>810</v>
      </c>
      <c r="CP13" s="226" t="s">
        <v>564</v>
      </c>
    </row>
    <row r="14" spans="1:94" ht="20" customHeight="1" outlineLevel="1" x14ac:dyDescent="0.65">
      <c r="A14" s="14">
        <v>9</v>
      </c>
      <c r="B14" s="15" t="str">
        <f t="shared" si="3"/>
        <v>187210Ma</v>
      </c>
      <c r="C14" s="16" t="s">
        <v>21</v>
      </c>
      <c r="D14" s="17" t="s">
        <v>66</v>
      </c>
      <c r="E14" s="18" t="s">
        <v>35</v>
      </c>
      <c r="F14" s="18" t="s">
        <v>57</v>
      </c>
      <c r="G14" s="19" t="str">
        <f t="shared" si="4"/>
        <v>H:</v>
      </c>
      <c r="H14" s="19">
        <v>1800</v>
      </c>
      <c r="I14" s="20" t="str">
        <f t="shared" si="5"/>
        <v>W:</v>
      </c>
      <c r="J14" s="20">
        <v>720</v>
      </c>
      <c r="K14" s="21" t="str">
        <f t="shared" si="6"/>
        <v>D:</v>
      </c>
      <c r="L14" s="21">
        <v>1000</v>
      </c>
      <c r="M14" s="22"/>
      <c r="N14" s="23"/>
      <c r="O14" s="24"/>
      <c r="P14" s="25"/>
      <c r="Q14" s="26" t="str">
        <f t="shared" si="7"/>
        <v>Marco  / H:1800W:720D:1000 mm</v>
      </c>
      <c r="S14" s="27" t="s">
        <v>67</v>
      </c>
      <c r="T14" s="28" t="s">
        <v>68</v>
      </c>
      <c r="U14" s="29" t="s">
        <v>49</v>
      </c>
      <c r="V14" s="120" t="str">
        <f>Z2&amp;Z3</f>
        <v>7260</v>
      </c>
      <c r="W14" s="30" t="s">
        <v>69</v>
      </c>
      <c r="X14" s="30"/>
      <c r="Y14" s="30"/>
      <c r="Z14" s="31" t="str">
        <f t="shared" si="0"/>
        <v>7260PaI</v>
      </c>
      <c r="AA14" s="32" t="str">
        <f t="shared" si="1"/>
        <v>014257</v>
      </c>
      <c r="AD14" s="158" t="str">
        <f t="shared" si="8"/>
        <v>ICV2HFPW3-</v>
      </c>
      <c r="AE14" s="148" t="s">
        <v>733</v>
      </c>
      <c r="AF14" s="148" t="s">
        <v>697</v>
      </c>
      <c r="AG14" s="148" t="s">
        <v>888</v>
      </c>
      <c r="AH14" s="3" t="s">
        <v>737</v>
      </c>
      <c r="AI14" s="3" t="s">
        <v>699</v>
      </c>
      <c r="AJ14" s="148" t="s">
        <v>735</v>
      </c>
      <c r="AK14" s="148" t="s">
        <v>736</v>
      </c>
      <c r="AL14" s="148" t="s">
        <v>701</v>
      </c>
      <c r="AM14" s="148"/>
      <c r="AN14" s="148" t="s">
        <v>564</v>
      </c>
      <c r="AO14" s="148" t="str">
        <f t="shared" si="9"/>
        <v>I</v>
      </c>
      <c r="AP14" s="3" t="str" cm="1">
        <f t="array" ref="AP14">IFERROR(_xlfn.IFS(AH14="Mini Breaker ","MB",AH14="GoPact ","GP",AH14="EZC 100 ","EZ1",AH14="EZC 250 ","EZ2",AH14="CVS/NSX 250 ","CV2",AH14="CVS/NSX/EZC 630 ","CV6",AH14="NS 1600 ","NS1",AH14="NW/MTZ 4000 ","NW4",AH14="Conmutador PEQ. ","CP",AH14="Conmutador MED. ","CM",AH14="Conmutador GRA. ","CG",AH14="Contactores ","CK"),"")</f>
        <v>CV2</v>
      </c>
      <c r="AQ14" s="3" t="str" cm="1">
        <f t="array" ref="AQ14">_xlfn.IFS(AI14="Horizontal ","H",AI14="Horizontal COMPUESTA ","HC",AI14="Vertical ","V",AI14="Vertical Compacta ","VC",AI14="Vertical Extendida ","VE")</f>
        <v>H</v>
      </c>
      <c r="AR14" s="148" t="str">
        <f>MID(AJ14,1,1)</f>
        <v>F</v>
      </c>
      <c r="AS14" s="148" t="str">
        <f>MID(AK14,1,1)</f>
        <v>P</v>
      </c>
      <c r="AT14" s="148" t="str" cm="1">
        <f t="array" ref="AT14">IFERROR(_xlfn.IFS(AL14="W:200 ","W1",AL14="W:400 ","W2",AL14="W:720 ","W3",AL14="W:800 ","W4",AL14="W:1120 ","W5"),"")</f>
        <v>W3</v>
      </c>
      <c r="AU14" s="148" t="str" cm="1">
        <f t="array" ref="AU14">IFERROR(_xlfn.IFS(AM14="D:400 ","D1",AM14="D:600 ","D2",AM14="D:1000 ","D3"),"")</f>
        <v/>
      </c>
      <c r="AV14" s="148" t="s">
        <v>638</v>
      </c>
      <c r="AW14" s="148" t="s">
        <v>639</v>
      </c>
      <c r="AX14" s="159" t="str">
        <f t="shared" si="10"/>
        <v>UF.  de CVS/NSX 250 Horizontal Fijo Palanca W:720 -</v>
      </c>
      <c r="BB14" s="261" t="str">
        <f t="shared" si="11"/>
        <v>2BH</v>
      </c>
      <c r="BC14" s="261">
        <f t="shared" si="13"/>
        <v>2</v>
      </c>
      <c r="BD14" s="261" t="str">
        <f>BD10</f>
        <v>B</v>
      </c>
      <c r="BE14" s="261" t="str">
        <f t="shared" si="14"/>
        <v>H</v>
      </c>
      <c r="BF14" s="261" t="str" cm="1">
        <f t="array" ref="BF14">IFERROR(_xlfn.IFS(BL14="400 + 400","X",BL14="720","Y",BL14="1120","Z"),"")</f>
        <v/>
      </c>
      <c r="BG14" s="266"/>
      <c r="BH14" s="306"/>
      <c r="BI14" s="330"/>
      <c r="BJ14" s="296"/>
      <c r="BK14" s="296"/>
      <c r="BL14" s="222" t="s">
        <v>564</v>
      </c>
      <c r="BM14" s="223" t="s">
        <v>564</v>
      </c>
      <c r="BN14" s="203" t="s">
        <v>600</v>
      </c>
      <c r="BO14" s="204" t="s">
        <v>564</v>
      </c>
      <c r="BP14" s="204" t="s">
        <v>564</v>
      </c>
      <c r="BQ14" s="204" t="s">
        <v>564</v>
      </c>
      <c r="BR14" s="204" t="s">
        <v>564</v>
      </c>
      <c r="BS14" s="204" t="s">
        <v>811</v>
      </c>
      <c r="BT14" s="204" t="s">
        <v>812</v>
      </c>
      <c r="BU14" s="204" t="s">
        <v>813</v>
      </c>
      <c r="BV14" s="204" t="s">
        <v>564</v>
      </c>
      <c r="BW14" s="204" t="s">
        <v>564</v>
      </c>
      <c r="BX14" s="204" t="s">
        <v>564</v>
      </c>
      <c r="BY14" s="204" t="s">
        <v>564</v>
      </c>
      <c r="BZ14" s="204" t="s">
        <v>564</v>
      </c>
      <c r="CB14" s="261" t="str">
        <f t="shared" si="2"/>
        <v>2BV</v>
      </c>
      <c r="CC14" s="261" t="s">
        <v>875</v>
      </c>
      <c r="CD14" s="261" t="str" cm="1">
        <f t="array" ref="CD14">IFERROR(_xlfn.IFS(CF14="1/4","M",CF14="1/2","N",CF14="3/4","O",CF14="1","P"),"")</f>
        <v/>
      </c>
      <c r="CE14" s="266"/>
      <c r="CF14" s="224" t="s">
        <v>564</v>
      </c>
      <c r="CG14" s="225" t="s">
        <v>564</v>
      </c>
      <c r="CH14" s="199" t="s">
        <v>564</v>
      </c>
      <c r="CI14" s="226" t="s">
        <v>564</v>
      </c>
      <c r="CJ14" s="226" t="s">
        <v>564</v>
      </c>
      <c r="CK14" s="226" t="s">
        <v>564</v>
      </c>
      <c r="CL14" s="226" t="s">
        <v>564</v>
      </c>
      <c r="CM14" s="226" t="s">
        <v>564</v>
      </c>
      <c r="CN14" s="226" t="s">
        <v>564</v>
      </c>
      <c r="CO14" s="226" t="s">
        <v>564</v>
      </c>
      <c r="CP14" s="226" t="s">
        <v>564</v>
      </c>
    </row>
    <row r="15" spans="1:94" ht="20" customHeight="1" outlineLevel="1" x14ac:dyDescent="0.65">
      <c r="A15" s="14">
        <v>10</v>
      </c>
      <c r="B15" s="15" t="str">
        <f t="shared" si="3"/>
        <v>181140Ma</v>
      </c>
      <c r="C15" s="16" t="s">
        <v>21</v>
      </c>
      <c r="D15" s="17" t="s">
        <v>70</v>
      </c>
      <c r="E15" s="18" t="s">
        <v>23</v>
      </c>
      <c r="F15" s="18" t="s">
        <v>71</v>
      </c>
      <c r="G15" s="19" t="str">
        <f t="shared" si="4"/>
        <v>H:</v>
      </c>
      <c r="H15" s="19">
        <v>1800</v>
      </c>
      <c r="I15" s="20" t="str">
        <f t="shared" si="5"/>
        <v>W:</v>
      </c>
      <c r="J15" s="20">
        <v>1120</v>
      </c>
      <c r="K15" s="21" t="str">
        <f t="shared" si="6"/>
        <v>D:</v>
      </c>
      <c r="L15" s="21">
        <v>400</v>
      </c>
      <c r="M15" s="22"/>
      <c r="N15" s="23"/>
      <c r="O15" s="24"/>
      <c r="P15" s="25"/>
      <c r="Q15" s="26" t="str">
        <f t="shared" si="7"/>
        <v>Marco  / H:1800W:1120D:400 mm</v>
      </c>
      <c r="S15" s="27" t="s">
        <v>72</v>
      </c>
      <c r="T15" s="28" t="s">
        <v>73</v>
      </c>
      <c r="U15" s="29" t="s">
        <v>74</v>
      </c>
      <c r="V15" s="120" t="str">
        <f>Z1</f>
        <v>22</v>
      </c>
      <c r="W15" s="30" t="s">
        <v>75</v>
      </c>
      <c r="X15" s="30"/>
      <c r="Y15" s="30"/>
      <c r="Z15" s="31" t="str">
        <f t="shared" si="0"/>
        <v>22PaIVT</v>
      </c>
      <c r="AA15" s="32" t="str">
        <f t="shared" si="1"/>
        <v>014154</v>
      </c>
      <c r="AD15" s="158" t="str">
        <f t="shared" si="8"/>
        <v>ICV2HFMW3-</v>
      </c>
      <c r="AE15" s="148" t="s">
        <v>733</v>
      </c>
      <c r="AF15" s="148" t="s">
        <v>697</v>
      </c>
      <c r="AG15" s="148" t="s">
        <v>888</v>
      </c>
      <c r="AH15" s="3" t="s">
        <v>737</v>
      </c>
      <c r="AI15" s="3" t="s">
        <v>699</v>
      </c>
      <c r="AJ15" s="148" t="s">
        <v>735</v>
      </c>
      <c r="AK15" s="148" t="s">
        <v>738</v>
      </c>
      <c r="AL15" s="148" t="s">
        <v>701</v>
      </c>
      <c r="AM15" s="148"/>
      <c r="AN15" s="148" t="s">
        <v>564</v>
      </c>
      <c r="AO15" s="148" t="str">
        <f t="shared" si="9"/>
        <v>I</v>
      </c>
      <c r="AP15" s="3" t="str" cm="1">
        <f t="array" ref="AP15">IFERROR(_xlfn.IFS(AH15="Mini Breaker ","MB",AH15="GoPact ","GP",AH15="EZC 100 ","EZ1",AH15="EZC 250 ","EZ2",AH15="CVS/NSX 250 ","CV2",AH15="CVS/NSX/EZC 630 ","CV6",AH15="NS 1600 ","NS1",AH15="NW/MTZ 4000 ","NW4",AH15="Conmutador PEQ. ","CP",AH15="Conmutador MED. ","CM",AH15="Conmutador GRA. ","CG",AH15="Contactores ","CK"),"")</f>
        <v>CV2</v>
      </c>
      <c r="AQ15" s="3" t="str" cm="1">
        <f t="array" ref="AQ15">_xlfn.IFS(AI15="Horizontal ","H",AI15="Horizontal COMPUESTA ","HC",AI15="Vertical ","V",AI15="Vertical Compacta ","VC",AI15="Vertical Extendida ","VE")</f>
        <v>H</v>
      </c>
      <c r="AR15" s="148" t="str">
        <f>MID(AJ15,1,1)</f>
        <v>F</v>
      </c>
      <c r="AS15" s="148" t="str">
        <f>MID(AK15,1,1)</f>
        <v>M</v>
      </c>
      <c r="AT15" s="148" t="str" cm="1">
        <f t="array" ref="AT15">IFERROR(_xlfn.IFS(AL15="W:200 ","W1",AL15="W:400 ","W2",AL15="W:720 ","W3",AL15="W:800 ","W4",AL15="W:1120 ","W5"),"")</f>
        <v>W3</v>
      </c>
      <c r="AU15" s="148" t="str" cm="1">
        <f t="array" ref="AU15">IFERROR(_xlfn.IFS(AM15="D:400 ","D1",AM15="D:600 ","D2",AM15="D:1000 ","D3"),"")</f>
        <v/>
      </c>
      <c r="AV15" s="148" t="s">
        <v>640</v>
      </c>
      <c r="AW15" s="148" t="s">
        <v>639</v>
      </c>
      <c r="AX15" s="159" t="str">
        <f t="shared" si="10"/>
        <v>UF.  de CVS/NSX 250 Horizontal Fijo Motorizado W:720 -</v>
      </c>
      <c r="BB15" s="262" t="str">
        <f t="shared" si="11"/>
        <v>2CHY</v>
      </c>
      <c r="BC15" s="262" cm="1">
        <f t="array" ref="BC15">_xlfn.IFS(BJ15="10 - 25",1,BJ15="10 - 40",2,BJ15="10 - 65",3,BJ15="10 - 85",4)</f>
        <v>2</v>
      </c>
      <c r="BD15" s="262" t="str" cm="1">
        <f t="array" ref="BD15">_xlfn.IFS(BK15="630","A",BK15="1250","B",BK15="1600","C",BK15="2000","D",BK15="2500","E",BK15="3200","F",BK15="4000","G",BK15="5000","H",BK15="6300","I",BK15="7000","J")</f>
        <v>C</v>
      </c>
      <c r="BE15" s="262" t="s">
        <v>1</v>
      </c>
      <c r="BF15" s="262" t="str" cm="1">
        <f t="array" ref="BF15">IFERROR(_xlfn.IFS(BL15="400 + 400","X",BL15="720","Y",BL15="1120","Z"),"")</f>
        <v>Y</v>
      </c>
      <c r="BG15" s="266"/>
      <c r="BH15" s="306"/>
      <c r="BI15" s="330"/>
      <c r="BJ15" s="297" t="s">
        <v>607</v>
      </c>
      <c r="BK15" s="297" t="s">
        <v>608</v>
      </c>
      <c r="BL15" s="197" t="s">
        <v>170</v>
      </c>
      <c r="BM15" s="227" t="s">
        <v>814</v>
      </c>
      <c r="BN15" s="199" t="s">
        <v>596</v>
      </c>
      <c r="BO15" s="226" t="s">
        <v>785</v>
      </c>
      <c r="BP15" s="226" t="s">
        <v>786</v>
      </c>
      <c r="BQ15" s="226" t="s">
        <v>787</v>
      </c>
      <c r="BR15" s="226" t="s">
        <v>788</v>
      </c>
      <c r="BS15" s="226" t="s">
        <v>564</v>
      </c>
      <c r="BT15" s="226" t="s">
        <v>564</v>
      </c>
      <c r="BU15" s="226" t="s">
        <v>564</v>
      </c>
      <c r="BV15" s="226" t="s">
        <v>564</v>
      </c>
      <c r="BW15" s="226" t="s">
        <v>564</v>
      </c>
      <c r="BX15" s="226" t="s">
        <v>564</v>
      </c>
      <c r="BY15" s="226" t="s">
        <v>564</v>
      </c>
      <c r="BZ15" s="226" t="s">
        <v>564</v>
      </c>
      <c r="CB15" s="262" t="str">
        <f t="shared" si="2"/>
        <v>2CVM</v>
      </c>
      <c r="CC15" s="262" t="s">
        <v>875</v>
      </c>
      <c r="CD15" s="262" t="str" cm="1">
        <f t="array" ref="CD15">IFERROR(_xlfn.IFS(CF15="1/4","M",CF15="1/2","N",CF15="3/4","O",CF15="1","P"),"")</f>
        <v>M</v>
      </c>
      <c r="CE15" s="266"/>
      <c r="CF15" s="201" t="s">
        <v>769</v>
      </c>
      <c r="CG15" s="202" t="s">
        <v>815</v>
      </c>
      <c r="CH15" s="203" t="s">
        <v>596</v>
      </c>
      <c r="CI15" s="204" t="s">
        <v>790</v>
      </c>
      <c r="CJ15" s="204" t="s">
        <v>791</v>
      </c>
      <c r="CK15" s="204" t="s">
        <v>792</v>
      </c>
      <c r="CL15" s="204" t="s">
        <v>793</v>
      </c>
      <c r="CM15" s="204" t="s">
        <v>564</v>
      </c>
      <c r="CN15" s="204" t="s">
        <v>564</v>
      </c>
      <c r="CO15" s="204" t="s">
        <v>564</v>
      </c>
      <c r="CP15" s="204" t="s">
        <v>564</v>
      </c>
    </row>
    <row r="16" spans="1:94" ht="20" customHeight="1" outlineLevel="1" x14ac:dyDescent="0.65">
      <c r="A16" s="14">
        <v>11</v>
      </c>
      <c r="B16" s="15" t="str">
        <f t="shared" si="3"/>
        <v>181160Ma</v>
      </c>
      <c r="C16" s="16" t="s">
        <v>21</v>
      </c>
      <c r="D16" s="17" t="s">
        <v>76</v>
      </c>
      <c r="E16" s="18" t="s">
        <v>29</v>
      </c>
      <c r="F16" s="18" t="s">
        <v>71</v>
      </c>
      <c r="G16" s="19" t="str">
        <f t="shared" si="4"/>
        <v>H:</v>
      </c>
      <c r="H16" s="19">
        <v>1800</v>
      </c>
      <c r="I16" s="20" t="str">
        <f t="shared" si="5"/>
        <v>W:</v>
      </c>
      <c r="J16" s="20">
        <v>1120</v>
      </c>
      <c r="K16" s="21" t="str">
        <f t="shared" si="6"/>
        <v>D:</v>
      </c>
      <c r="L16" s="21">
        <v>600</v>
      </c>
      <c r="M16" s="22"/>
      <c r="N16" s="23"/>
      <c r="O16" s="24"/>
      <c r="P16" s="25"/>
      <c r="Q16" s="26" t="str">
        <f t="shared" si="7"/>
        <v>Marco  / H:1800W:1120D:600 mm</v>
      </c>
      <c r="S16" s="27" t="s">
        <v>77</v>
      </c>
      <c r="T16" s="28" t="s">
        <v>78</v>
      </c>
      <c r="U16" s="29" t="s">
        <v>79</v>
      </c>
      <c r="V16" s="120">
        <v>600</v>
      </c>
      <c r="W16" s="30" t="s">
        <v>80</v>
      </c>
      <c r="X16" s="30"/>
      <c r="Y16" s="30"/>
      <c r="Z16" s="31" t="str">
        <f>MID(V16,1,2)&amp;U16&amp;MID(W16,1,1)&amp;MID(X16,1,1)&amp;MID(Y16,1,3)</f>
        <v>60PaIV</v>
      </c>
      <c r="AA16" s="32" t="str">
        <f t="shared" si="1"/>
        <v>014150</v>
      </c>
      <c r="AD16" s="158" t="str">
        <f t="shared" si="8"/>
        <v xml:space="preserve">ICV2HFPW3DPS </v>
      </c>
      <c r="AE16" s="148" t="s">
        <v>733</v>
      </c>
      <c r="AF16" s="148" t="s">
        <v>697</v>
      </c>
      <c r="AG16" s="148" t="s">
        <v>888</v>
      </c>
      <c r="AH16" s="3" t="s">
        <v>737</v>
      </c>
      <c r="AI16" s="3" t="s">
        <v>699</v>
      </c>
      <c r="AJ16" s="148" t="s">
        <v>735</v>
      </c>
      <c r="AK16" s="148" t="s">
        <v>736</v>
      </c>
      <c r="AL16" s="148" t="s">
        <v>701</v>
      </c>
      <c r="AM16" s="148"/>
      <c r="AN16" s="148" t="s">
        <v>702</v>
      </c>
      <c r="AO16" s="148" t="str">
        <f t="shared" si="9"/>
        <v>I</v>
      </c>
      <c r="AP16" s="3" t="str" cm="1">
        <f t="array" ref="AP16">IFERROR(_xlfn.IFS(AH16="Mini Breaker ","MB",AH16="GoPact ","GP",AH16="EZC 100 ","EZ1",AH16="EZC 250 ","EZ2",AH16="CVS/NSX 250 ","CV2",AH16="CVS/NSX/EZC 630 ","CV6",AH16="NS 1600 ","NS1",AH16="NW/MTZ 4000 ","NW4",AH16="Conmutador PEQ. ","CP",AH16="Conmutador MED. ","CM",AH16="Conmutador GRA. ","CG",AH16="Contactores ","CK"),"")</f>
        <v>CV2</v>
      </c>
      <c r="AQ16" s="3" t="str" cm="1">
        <f t="array" ref="AQ16">_xlfn.IFS(AI16="Horizontal ","H",AI16="Horizontal COMPUESTA ","HC",AI16="Vertical ","V",AI16="Vertical Compacta ","VC",AI16="Vertical Extendida ","VE")</f>
        <v>H</v>
      </c>
      <c r="AR16" s="148" t="str">
        <f>MID(AJ16,1,1)</f>
        <v>F</v>
      </c>
      <c r="AS16" s="148" t="str">
        <f>MID(AK16,1,1)</f>
        <v>P</v>
      </c>
      <c r="AT16" s="148" t="str" cm="1">
        <f t="array" ref="AT16">IFERROR(_xlfn.IFS(AL16="W:200 ","W1",AL16="W:400 ","W2",AL16="W:720 ","W3",AL16="W:800 ","W4",AL16="W:1120 ","W5"),"")</f>
        <v>W3</v>
      </c>
      <c r="AU16" s="148" t="str" cm="1">
        <f t="array" ref="AU16">IFERROR(_xlfn.IFS(AM16="D:400 ","D1",AM16="D:600 ","D2",AM16="D:1000 ","D3"),"")</f>
        <v/>
      </c>
      <c r="AV16" s="148" t="s">
        <v>641</v>
      </c>
      <c r="AW16" s="148" t="s">
        <v>642</v>
      </c>
      <c r="AX16" s="159" t="str">
        <f t="shared" si="10"/>
        <v xml:space="preserve">UF.  de CVS/NSX 250 Horizontal Fijo Palanca W:720 DPS </v>
      </c>
      <c r="BB16" s="262" t="str">
        <f t="shared" si="11"/>
        <v>2CHZ</v>
      </c>
      <c r="BC16" s="262">
        <f>BC15</f>
        <v>2</v>
      </c>
      <c r="BD16" s="262" t="str">
        <f>BD15</f>
        <v>C</v>
      </c>
      <c r="BE16" s="262" t="str">
        <f>BE15</f>
        <v>H</v>
      </c>
      <c r="BF16" s="262" t="str" cm="1">
        <f t="array" ref="BF16">IFERROR(_xlfn.IFS(BL16="400 + 400","X",BL16="720","Y",BL16="1120","Z"),"")</f>
        <v>Z</v>
      </c>
      <c r="BG16" s="266"/>
      <c r="BH16" s="306"/>
      <c r="BI16" s="330"/>
      <c r="BJ16" s="297"/>
      <c r="BK16" s="297"/>
      <c r="BL16" s="197" t="s">
        <v>172</v>
      </c>
      <c r="BM16" s="227" t="s">
        <v>816</v>
      </c>
      <c r="BN16" s="199" t="s">
        <v>597</v>
      </c>
      <c r="BO16" s="226" t="s">
        <v>795</v>
      </c>
      <c r="BP16" s="226" t="s">
        <v>796</v>
      </c>
      <c r="BQ16" s="226" t="s">
        <v>797</v>
      </c>
      <c r="BR16" s="226" t="s">
        <v>798</v>
      </c>
      <c r="BS16" s="226" t="s">
        <v>564</v>
      </c>
      <c r="BT16" s="226" t="s">
        <v>564</v>
      </c>
      <c r="BU16" s="226" t="s">
        <v>564</v>
      </c>
      <c r="BV16" s="226" t="s">
        <v>564</v>
      </c>
      <c r="BW16" s="226" t="s">
        <v>564</v>
      </c>
      <c r="BX16" s="226" t="s">
        <v>564</v>
      </c>
      <c r="BY16" s="226" t="s">
        <v>564</v>
      </c>
      <c r="BZ16" s="226" t="s">
        <v>564</v>
      </c>
      <c r="CB16" s="262" t="str">
        <f t="shared" si="2"/>
        <v>2CVN</v>
      </c>
      <c r="CC16" s="262" t="s">
        <v>875</v>
      </c>
      <c r="CD16" s="262" t="str" cm="1">
        <f t="array" ref="CD16">IFERROR(_xlfn.IFS(CF16="1/4","M",CF16="1/2","N",CF16="3/4","O",CF16="1","P"),"")</f>
        <v>N</v>
      </c>
      <c r="CE16" s="266"/>
      <c r="CF16" s="201" t="s">
        <v>774</v>
      </c>
      <c r="CG16" s="202" t="s">
        <v>817</v>
      </c>
      <c r="CH16" s="203" t="s">
        <v>597</v>
      </c>
      <c r="CI16" s="295" t="s">
        <v>800</v>
      </c>
      <c r="CJ16" s="295" t="s">
        <v>801</v>
      </c>
      <c r="CK16" s="295" t="s">
        <v>802</v>
      </c>
      <c r="CL16" s="295" t="s">
        <v>803</v>
      </c>
      <c r="CM16" s="295" t="s">
        <v>564</v>
      </c>
      <c r="CN16" s="295" t="s">
        <v>564</v>
      </c>
      <c r="CO16" s="295" t="s">
        <v>564</v>
      </c>
      <c r="CP16" s="295" t="s">
        <v>564</v>
      </c>
    </row>
    <row r="17" spans="1:94" ht="20" customHeight="1" outlineLevel="1" x14ac:dyDescent="0.65">
      <c r="A17" s="14">
        <v>12</v>
      </c>
      <c r="B17" s="15" t="str">
        <f t="shared" si="3"/>
        <v>181110Ma</v>
      </c>
      <c r="C17" s="16" t="s">
        <v>21</v>
      </c>
      <c r="D17" s="17" t="s">
        <v>81</v>
      </c>
      <c r="E17" s="18" t="s">
        <v>35</v>
      </c>
      <c r="F17" s="18" t="s">
        <v>71</v>
      </c>
      <c r="G17" s="19" t="str">
        <f t="shared" si="4"/>
        <v>H:</v>
      </c>
      <c r="H17" s="19">
        <v>1800</v>
      </c>
      <c r="I17" s="20" t="str">
        <f t="shared" si="5"/>
        <v>W:</v>
      </c>
      <c r="J17" s="20">
        <v>1120</v>
      </c>
      <c r="K17" s="21" t="str">
        <f t="shared" si="6"/>
        <v>D:</v>
      </c>
      <c r="L17" s="21">
        <v>1000</v>
      </c>
      <c r="M17" s="22"/>
      <c r="N17" s="23"/>
      <c r="O17" s="24"/>
      <c r="P17" s="25"/>
      <c r="Q17" s="26" t="str">
        <f t="shared" si="7"/>
        <v>Marco  / H:1800W:1120D:1000 mm</v>
      </c>
      <c r="S17" s="27" t="s">
        <v>82</v>
      </c>
      <c r="T17" s="28" t="s">
        <v>83</v>
      </c>
      <c r="U17" s="29" t="s">
        <v>79</v>
      </c>
      <c r="V17" s="120">
        <v>600</v>
      </c>
      <c r="W17" s="30" t="s">
        <v>84</v>
      </c>
      <c r="X17" s="30"/>
      <c r="Y17" s="30"/>
      <c r="Z17" s="31" t="str">
        <f>MID(V17,1,2)&amp;U17&amp;MID(W17,1,1)&amp;MID(X17,1,1)&amp;MID(Y17,1,3)</f>
        <v>60PaIH</v>
      </c>
      <c r="AA17" s="32">
        <f t="shared" si="1"/>
        <v>10285</v>
      </c>
      <c r="AD17" s="158" t="str">
        <f t="shared" si="8"/>
        <v xml:space="preserve">ICV2HFPW3HWA </v>
      </c>
      <c r="AE17" s="148" t="s">
        <v>733</v>
      </c>
      <c r="AF17" s="148" t="s">
        <v>697</v>
      </c>
      <c r="AG17" s="148" t="s">
        <v>888</v>
      </c>
      <c r="AH17" s="3" t="s">
        <v>737</v>
      </c>
      <c r="AI17" s="3" t="s">
        <v>699</v>
      </c>
      <c r="AJ17" s="148" t="s">
        <v>735</v>
      </c>
      <c r="AK17" s="148" t="s">
        <v>736</v>
      </c>
      <c r="AL17" s="148" t="s">
        <v>701</v>
      </c>
      <c r="AM17" s="148"/>
      <c r="AN17" s="148" t="s">
        <v>703</v>
      </c>
      <c r="AO17" s="148" t="str">
        <f t="shared" si="9"/>
        <v>I</v>
      </c>
      <c r="AP17" s="3" t="str" cm="1">
        <f t="array" ref="AP17">IFERROR(_xlfn.IFS(AH17="Mini Breaker ","MB",AH17="GoPact ","GP",AH17="EZC 100 ","EZ1",AH17="EZC 250 ","EZ2",AH17="CVS/NSX 250 ","CV2",AH17="CVS/NSX/EZC 630 ","CV6",AH17="NS 1600 ","NS1",AH17="NW/MTZ 4000 ","NW4",AH17="Conmutador PEQ. ","CP",AH17="Conmutador MED. ","CM",AH17="Conmutador GRA. ","CG",AH17="Contactores ","CK"),"")</f>
        <v>CV2</v>
      </c>
      <c r="AQ17" s="3" t="str" cm="1">
        <f t="array" ref="AQ17">_xlfn.IFS(AI17="Horizontal ","H",AI17="Horizontal COMPUESTA ","HC",AI17="Vertical ","V",AI17="Vertical Compacta ","VC",AI17="Vertical Extendida ","VE")</f>
        <v>H</v>
      </c>
      <c r="AR17" s="148" t="str">
        <f>MID(AJ17,1,1)</f>
        <v>F</v>
      </c>
      <c r="AS17" s="148" t="str">
        <f>MID(AK17,1,1)</f>
        <v>P</v>
      </c>
      <c r="AT17" s="148" t="str" cm="1">
        <f t="array" ref="AT17">IFERROR(_xlfn.IFS(AL17="W:200 ","W1",AL17="W:400 ","W2",AL17="W:720 ","W3",AL17="W:800 ","W4",AL17="W:1120 ","W5"),"")</f>
        <v>W3</v>
      </c>
      <c r="AU17" s="148" t="str" cm="1">
        <f t="array" ref="AU17">IFERROR(_xlfn.IFS(AM17="D:400 ","D1",AM17="D:600 ","D2",AM17="D:1000 ","D3"),"")</f>
        <v/>
      </c>
      <c r="AV17" s="148" t="s">
        <v>643</v>
      </c>
      <c r="AW17" s="148" t="s">
        <v>644</v>
      </c>
      <c r="AX17" s="159" t="str">
        <f t="shared" si="10"/>
        <v xml:space="preserve">UF.  de CVS/NSX 250 Horizontal Fijo Palanca W:720 HWA </v>
      </c>
      <c r="BB17" s="262" t="str">
        <f t="shared" si="11"/>
        <v>2CHX</v>
      </c>
      <c r="BC17" s="262">
        <f t="shared" ref="BC17:BC19" si="15">BC16</f>
        <v>2</v>
      </c>
      <c r="BD17" s="262" t="str">
        <f>BD16</f>
        <v>C</v>
      </c>
      <c r="BE17" s="262" t="str">
        <f t="shared" ref="BE17:BE19" si="16">BE16</f>
        <v>H</v>
      </c>
      <c r="BF17" s="262" t="str" cm="1">
        <f t="array" ref="BF17">IFERROR(_xlfn.IFS(BL17="400 + 400","X",BL17="720","Y",BL17="1120","Z"),"")</f>
        <v>X</v>
      </c>
      <c r="BG17" s="266"/>
      <c r="BH17" s="306"/>
      <c r="BI17" s="330"/>
      <c r="BJ17" s="297"/>
      <c r="BK17" s="297"/>
      <c r="BL17" s="197" t="s">
        <v>804</v>
      </c>
      <c r="BM17" s="227" t="s">
        <v>818</v>
      </c>
      <c r="BN17" s="199" t="s">
        <v>598</v>
      </c>
      <c r="BO17" s="226" t="s">
        <v>795</v>
      </c>
      <c r="BP17" s="226" t="s">
        <v>796</v>
      </c>
      <c r="BQ17" s="226" t="s">
        <v>797</v>
      </c>
      <c r="BR17" s="226" t="s">
        <v>798</v>
      </c>
      <c r="BS17" s="226" t="s">
        <v>564</v>
      </c>
      <c r="BT17" s="226" t="s">
        <v>564</v>
      </c>
      <c r="BU17" s="226" t="s">
        <v>564</v>
      </c>
      <c r="BV17" s="226" t="s">
        <v>564</v>
      </c>
      <c r="BW17" s="226" t="s">
        <v>564</v>
      </c>
      <c r="BX17" s="226" t="s">
        <v>564</v>
      </c>
      <c r="BY17" s="226" t="s">
        <v>564</v>
      </c>
      <c r="BZ17" s="226" t="s">
        <v>564</v>
      </c>
      <c r="CB17" s="262" t="str">
        <f t="shared" si="2"/>
        <v>2CVO</v>
      </c>
      <c r="CC17" s="262" t="s">
        <v>875</v>
      </c>
      <c r="CD17" s="262" t="str" cm="1">
        <f t="array" ref="CD17">IFERROR(_xlfn.IFS(CF17="1/4","M",CF17="1/2","N",CF17="3/4","O",CF17="1","P"),"")</f>
        <v>O</v>
      </c>
      <c r="CE17" s="266"/>
      <c r="CF17" s="201" t="s">
        <v>780</v>
      </c>
      <c r="CG17" s="202" t="s">
        <v>819</v>
      </c>
      <c r="CH17" s="203" t="s">
        <v>598</v>
      </c>
      <c r="CI17" s="295"/>
      <c r="CJ17" s="295"/>
      <c r="CK17" s="295"/>
      <c r="CL17" s="295"/>
      <c r="CM17" s="295"/>
      <c r="CN17" s="295"/>
      <c r="CO17" s="295"/>
      <c r="CP17" s="295"/>
    </row>
    <row r="18" spans="1:94" ht="20" customHeight="1" outlineLevel="1" x14ac:dyDescent="0.65">
      <c r="A18" s="14">
        <v>13</v>
      </c>
      <c r="B18" s="15" t="str">
        <f t="shared" si="3"/>
        <v>202040Ma</v>
      </c>
      <c r="C18" s="16" t="s">
        <v>21</v>
      </c>
      <c r="D18" s="17" t="s">
        <v>85</v>
      </c>
      <c r="E18" s="18" t="s">
        <v>86</v>
      </c>
      <c r="F18" s="18" t="s">
        <v>24</v>
      </c>
      <c r="G18" s="19" t="str">
        <f t="shared" si="4"/>
        <v>H:</v>
      </c>
      <c r="H18" s="19">
        <v>2000</v>
      </c>
      <c r="I18" s="20" t="str">
        <f t="shared" si="5"/>
        <v>W:</v>
      </c>
      <c r="J18" s="20">
        <v>200</v>
      </c>
      <c r="K18" s="21" t="str">
        <f t="shared" si="6"/>
        <v>D:</v>
      </c>
      <c r="L18" s="21">
        <v>400</v>
      </c>
      <c r="M18" s="22"/>
      <c r="N18" s="23"/>
      <c r="O18" s="24"/>
      <c r="P18" s="25"/>
      <c r="Q18" s="26" t="str">
        <f t="shared" si="7"/>
        <v>Marco  / H:2000W:200D:400 mm</v>
      </c>
      <c r="S18" s="27" t="s">
        <v>87</v>
      </c>
      <c r="T18" s="28" t="s">
        <v>88</v>
      </c>
      <c r="U18" s="29" t="s">
        <v>89</v>
      </c>
      <c r="V18" s="120" t="str">
        <f>Z2</f>
        <v>72</v>
      </c>
      <c r="W18" s="30"/>
      <c r="X18" s="30"/>
      <c r="Y18" s="30"/>
      <c r="Z18" s="31" t="str">
        <f>V18&amp;U18&amp;MID(W18,1,1)&amp;MID(X18,1,1)&amp;MID(Y18,1,3)</f>
        <v>72DuC</v>
      </c>
      <c r="AA18" s="32" t="str">
        <f t="shared" si="1"/>
        <v>014301</v>
      </c>
      <c r="AD18" s="158" t="str">
        <f t="shared" si="8"/>
        <v>ICV2HCFPW3-</v>
      </c>
      <c r="AE18" s="148" t="s">
        <v>733</v>
      </c>
      <c r="AF18" s="148" t="s">
        <v>697</v>
      </c>
      <c r="AG18" s="148" t="s">
        <v>888</v>
      </c>
      <c r="AH18" s="3" t="s">
        <v>737</v>
      </c>
      <c r="AI18" s="3" t="s">
        <v>712</v>
      </c>
      <c r="AJ18" s="148" t="s">
        <v>735</v>
      </c>
      <c r="AK18" s="148" t="s">
        <v>736</v>
      </c>
      <c r="AL18" s="148" t="s">
        <v>701</v>
      </c>
      <c r="AM18" s="148"/>
      <c r="AN18" s="148" t="s">
        <v>564</v>
      </c>
      <c r="AO18" s="148" t="str">
        <f t="shared" si="9"/>
        <v>I</v>
      </c>
      <c r="AP18" s="3" t="str" cm="1">
        <f t="array" ref="AP18">IFERROR(_xlfn.IFS(AH18="Mini Breaker ","MB",AH18="GoPact ","GP",AH18="EZC 100 ","EZ1",AH18="EZC 250 ","EZ2",AH18="CVS/NSX 250 ","CV2",AH18="CVS/NSX/EZC 630 ","CV6",AH18="NS 1600 ","NS1",AH18="NW/MTZ 4000 ","NW4",AH18="Conmutador PEQ. ","CP",AH18="Conmutador MED. ","CM",AH18="Conmutador GRA. ","CG",AH18="Contactores ","CK"),"")</f>
        <v>CV2</v>
      </c>
      <c r="AQ18" s="3" t="str" cm="1">
        <f t="array" ref="AQ18">_xlfn.IFS(AI18="Horizontal ","H",AI18="Horizontal COMPUESTA ","HC",AI18="Vertical ","V",AI18="Vertical Compacta ","VC",AI18="Vertical Extendida ","VE")</f>
        <v>HC</v>
      </c>
      <c r="AR18" s="148" t="str">
        <f>MID(AJ18,1,1)</f>
        <v>F</v>
      </c>
      <c r="AS18" s="148" t="str">
        <f>MID(AK18,1,1)</f>
        <v>P</v>
      </c>
      <c r="AT18" s="148" t="str" cm="1">
        <f t="array" ref="AT18">IFERROR(_xlfn.IFS(AL18="W:200 ","W1",AL18="W:400 ","W2",AL18="W:720 ","W3",AL18="W:800 ","W4",AL18="W:1120 ","W5"),"")</f>
        <v>W3</v>
      </c>
      <c r="AU18" s="148" t="str" cm="1">
        <f t="array" ref="AU18">IFERROR(_xlfn.IFS(AM18="D:400 ","D1",AM18="D:600 ","D2",AM18="D:1000 ","D3"),"")</f>
        <v/>
      </c>
      <c r="AV18" s="148" t="s">
        <v>645</v>
      </c>
      <c r="AW18" s="148" t="s">
        <v>639</v>
      </c>
      <c r="AX18" s="159" t="str">
        <f t="shared" si="10"/>
        <v>UF.  de CVS/NSX 250 Horizontal COMPUESTA Fijo Palanca W:720 -</v>
      </c>
      <c r="BB18" s="262" t="str">
        <f t="shared" si="11"/>
        <v>2CH</v>
      </c>
      <c r="BC18" s="262">
        <f t="shared" si="15"/>
        <v>2</v>
      </c>
      <c r="BD18" s="262" t="str">
        <f t="shared" ref="BD18:BD19" si="17">BD17</f>
        <v>C</v>
      </c>
      <c r="BE18" s="262" t="str">
        <f t="shared" si="16"/>
        <v>H</v>
      </c>
      <c r="BF18" s="262" t="str" cm="1">
        <f t="array" ref="BF18">IFERROR(_xlfn.IFS(BL18="400 + 400","X",BL18="720","Y",BL18="1120","Z"),"")</f>
        <v/>
      </c>
      <c r="BG18" s="266"/>
      <c r="BH18" s="306"/>
      <c r="BI18" s="330"/>
      <c r="BJ18" s="297"/>
      <c r="BK18" s="297"/>
      <c r="BL18" s="197" t="s">
        <v>564</v>
      </c>
      <c r="BM18" s="227" t="s">
        <v>564</v>
      </c>
      <c r="BN18" s="199" t="s">
        <v>599</v>
      </c>
      <c r="BO18" s="226" t="s">
        <v>564</v>
      </c>
      <c r="BP18" s="226" t="s">
        <v>564</v>
      </c>
      <c r="BQ18" s="226" t="s">
        <v>564</v>
      </c>
      <c r="BR18" s="226" t="s">
        <v>564</v>
      </c>
      <c r="BS18" s="226" t="s">
        <v>807</v>
      </c>
      <c r="BT18" s="226" t="s">
        <v>807</v>
      </c>
      <c r="BU18" s="226" t="s">
        <v>807</v>
      </c>
      <c r="BV18" s="226" t="s">
        <v>820</v>
      </c>
      <c r="BW18" s="226" t="s">
        <v>564</v>
      </c>
      <c r="BX18" s="226" t="s">
        <v>564</v>
      </c>
      <c r="BY18" s="226" t="s">
        <v>564</v>
      </c>
      <c r="BZ18" s="226" t="s">
        <v>564</v>
      </c>
      <c r="CB18" s="262" t="str">
        <f t="shared" si="2"/>
        <v>2CVP</v>
      </c>
      <c r="CC18" s="262" t="s">
        <v>875</v>
      </c>
      <c r="CD18" s="262" t="str" cm="1">
        <f t="array" ref="CD18">IFERROR(_xlfn.IFS(CF18="1/4","M",CF18="1/2","N",CF18="3/4","O",CF18="1","P"),"")</f>
        <v>P</v>
      </c>
      <c r="CE18" s="266"/>
      <c r="CF18" s="201" t="s">
        <v>604</v>
      </c>
      <c r="CG18" s="202" t="s">
        <v>821</v>
      </c>
      <c r="CH18" s="203" t="s">
        <v>599</v>
      </c>
      <c r="CI18" s="204" t="s">
        <v>564</v>
      </c>
      <c r="CJ18" s="204" t="s">
        <v>564</v>
      </c>
      <c r="CK18" s="204" t="s">
        <v>564</v>
      </c>
      <c r="CL18" s="204" t="s">
        <v>564</v>
      </c>
      <c r="CM18" s="204" t="s">
        <v>809</v>
      </c>
      <c r="CN18" s="204" t="s">
        <v>809</v>
      </c>
      <c r="CO18" s="204" t="s">
        <v>810</v>
      </c>
      <c r="CP18" s="204" t="s">
        <v>822</v>
      </c>
    </row>
    <row r="19" spans="1:94" ht="20" customHeight="1" outlineLevel="1" x14ac:dyDescent="0.65">
      <c r="A19" s="14">
        <v>14</v>
      </c>
      <c r="B19" s="15" t="str">
        <f t="shared" si="3"/>
        <v>202060Ma</v>
      </c>
      <c r="C19" s="16" t="s">
        <v>21</v>
      </c>
      <c r="D19" s="17" t="s">
        <v>90</v>
      </c>
      <c r="E19" s="18" t="s">
        <v>91</v>
      </c>
      <c r="F19" s="18" t="s">
        <v>24</v>
      </c>
      <c r="G19" s="19" t="str">
        <f t="shared" si="4"/>
        <v>H:</v>
      </c>
      <c r="H19" s="19">
        <v>2000</v>
      </c>
      <c r="I19" s="20" t="str">
        <f t="shared" si="5"/>
        <v>W:</v>
      </c>
      <c r="J19" s="20">
        <v>200</v>
      </c>
      <c r="K19" s="21" t="str">
        <f t="shared" si="6"/>
        <v>D:</v>
      </c>
      <c r="L19" s="21">
        <v>600</v>
      </c>
      <c r="M19" s="22"/>
      <c r="N19" s="23"/>
      <c r="O19" s="24"/>
      <c r="P19" s="25"/>
      <c r="Q19" s="26" t="str">
        <f t="shared" si="7"/>
        <v>Marco  / H:2000W:200D:600 mm</v>
      </c>
      <c r="S19" s="27" t="s">
        <v>92</v>
      </c>
      <c r="T19" s="28" t="s">
        <v>93</v>
      </c>
      <c r="U19" s="29" t="s">
        <v>94</v>
      </c>
      <c r="V19" s="120"/>
      <c r="W19" s="30" t="s">
        <v>95</v>
      </c>
      <c r="X19" s="30"/>
      <c r="Y19" s="30"/>
      <c r="Z19" s="31" t="str">
        <f>V19&amp;U19&amp;MID(W19,1,1)&amp;MID(X19,1,1)&amp;MID(Y19,1,3)</f>
        <v>KiU</v>
      </c>
      <c r="AA19" s="32" t="e">
        <f t="shared" si="1"/>
        <v>#N/A</v>
      </c>
      <c r="AD19" s="158" t="str">
        <f t="shared" si="8"/>
        <v>ICV2HCFMW3-</v>
      </c>
      <c r="AE19" s="148" t="s">
        <v>733</v>
      </c>
      <c r="AF19" s="148" t="s">
        <v>697</v>
      </c>
      <c r="AG19" s="148" t="s">
        <v>888</v>
      </c>
      <c r="AH19" s="3" t="s">
        <v>737</v>
      </c>
      <c r="AI19" s="3" t="s">
        <v>712</v>
      </c>
      <c r="AJ19" s="148" t="s">
        <v>735</v>
      </c>
      <c r="AK19" s="148" t="s">
        <v>738</v>
      </c>
      <c r="AL19" s="148" t="s">
        <v>701</v>
      </c>
      <c r="AM19" s="148"/>
      <c r="AN19" s="148" t="s">
        <v>564</v>
      </c>
      <c r="AO19" s="148" t="str">
        <f t="shared" si="9"/>
        <v>I</v>
      </c>
      <c r="AP19" s="3" t="str" cm="1">
        <f t="array" ref="AP19">IFERROR(_xlfn.IFS(AH19="Mini Breaker ","MB",AH19="GoPact ","GP",AH19="EZC 100 ","EZ1",AH19="EZC 250 ","EZ2",AH19="CVS/NSX 250 ","CV2",AH19="CVS/NSX/EZC 630 ","CV6",AH19="NS 1600 ","NS1",AH19="NW/MTZ 4000 ","NW4",AH19="Conmutador PEQ. ","CP",AH19="Conmutador MED. ","CM",AH19="Conmutador GRA. ","CG",AH19="Contactores ","CK"),"")</f>
        <v>CV2</v>
      </c>
      <c r="AQ19" s="3" t="str" cm="1">
        <f t="array" ref="AQ19">_xlfn.IFS(AI19="Horizontal ","H",AI19="Horizontal COMPUESTA ","HC",AI19="Vertical ","V",AI19="Vertical Compacta ","VC",AI19="Vertical Extendida ","VE")</f>
        <v>HC</v>
      </c>
      <c r="AR19" s="148" t="str">
        <f>MID(AJ19,1,1)</f>
        <v>F</v>
      </c>
      <c r="AS19" s="148" t="str">
        <f>MID(AK19,1,1)</f>
        <v>M</v>
      </c>
      <c r="AT19" s="148" t="str" cm="1">
        <f t="array" ref="AT19">IFERROR(_xlfn.IFS(AL19="W:200 ","W1",AL19="W:400 ","W2",AL19="W:720 ","W3",AL19="W:800 ","W4",AL19="W:1120 ","W5"),"")</f>
        <v>W3</v>
      </c>
      <c r="AU19" s="148" t="str" cm="1">
        <f t="array" ref="AU19">IFERROR(_xlfn.IFS(AM19="D:400 ","D1",AM19="D:600 ","D2",AM19="D:1000 ","D3"),"")</f>
        <v/>
      </c>
      <c r="AV19" s="148" t="s">
        <v>646</v>
      </c>
      <c r="AW19" s="148" t="s">
        <v>639</v>
      </c>
      <c r="AX19" s="159" t="str">
        <f t="shared" si="10"/>
        <v>UF.  de CVS/NSX 250 Horizontal COMPUESTA Fijo Motorizado W:720 -</v>
      </c>
      <c r="BB19" s="262" t="str">
        <f t="shared" si="11"/>
        <v>2CH</v>
      </c>
      <c r="BC19" s="262">
        <f t="shared" si="15"/>
        <v>2</v>
      </c>
      <c r="BD19" s="262" t="str">
        <f t="shared" si="17"/>
        <v>C</v>
      </c>
      <c r="BE19" s="262" t="str">
        <f t="shared" si="16"/>
        <v>H</v>
      </c>
      <c r="BF19" s="262" t="str" cm="1">
        <f t="array" ref="BF19">IFERROR(_xlfn.IFS(BL19="400 + 400","X",BL19="720","Y",BL19="1120","Z"),"")</f>
        <v/>
      </c>
      <c r="BG19" s="266"/>
      <c r="BH19" s="308"/>
      <c r="BI19" s="331"/>
      <c r="BJ19" s="297"/>
      <c r="BK19" s="297"/>
      <c r="BL19" s="197" t="s">
        <v>564</v>
      </c>
      <c r="BM19" s="227" t="s">
        <v>564</v>
      </c>
      <c r="BN19" s="199" t="s">
        <v>600</v>
      </c>
      <c r="BO19" s="226" t="s">
        <v>564</v>
      </c>
      <c r="BP19" s="226" t="s">
        <v>564</v>
      </c>
      <c r="BQ19" s="226" t="s">
        <v>564</v>
      </c>
      <c r="BR19" s="226" t="s">
        <v>564</v>
      </c>
      <c r="BS19" s="226" t="s">
        <v>811</v>
      </c>
      <c r="BT19" s="226" t="s">
        <v>812</v>
      </c>
      <c r="BU19" s="226" t="s">
        <v>813</v>
      </c>
      <c r="BV19" s="226" t="s">
        <v>564</v>
      </c>
      <c r="BW19" s="226" t="s">
        <v>564</v>
      </c>
      <c r="BX19" s="226" t="s">
        <v>564</v>
      </c>
      <c r="BY19" s="226" t="s">
        <v>564</v>
      </c>
      <c r="BZ19" s="226" t="s">
        <v>564</v>
      </c>
      <c r="CB19" s="262" t="str">
        <f t="shared" si="2"/>
        <v>2CV</v>
      </c>
      <c r="CC19" s="262" t="s">
        <v>875</v>
      </c>
      <c r="CD19" s="262" t="str" cm="1">
        <f t="array" ref="CD19">IFERROR(_xlfn.IFS(CF19="1/4","M",CF19="1/2","N",CF19="3/4","O",CF19="1","P"),"")</f>
        <v/>
      </c>
      <c r="CE19" s="266"/>
      <c r="CF19" s="201" t="s">
        <v>564</v>
      </c>
      <c r="CG19" s="202" t="s">
        <v>564</v>
      </c>
      <c r="CH19" s="203" t="s">
        <v>564</v>
      </c>
      <c r="CI19" s="204" t="s">
        <v>564</v>
      </c>
      <c r="CJ19" s="204" t="s">
        <v>564</v>
      </c>
      <c r="CK19" s="204" t="s">
        <v>564</v>
      </c>
      <c r="CL19" s="204" t="s">
        <v>564</v>
      </c>
      <c r="CM19" s="204" t="s">
        <v>564</v>
      </c>
      <c r="CN19" s="204" t="s">
        <v>564</v>
      </c>
      <c r="CO19" s="204" t="s">
        <v>564</v>
      </c>
      <c r="CP19" s="204" t="s">
        <v>564</v>
      </c>
    </row>
    <row r="20" spans="1:94" ht="20" customHeight="1" outlineLevel="1" x14ac:dyDescent="0.65">
      <c r="A20" s="14">
        <v>15</v>
      </c>
      <c r="B20" s="15" t="str">
        <f t="shared" si="3"/>
        <v>202010Ma</v>
      </c>
      <c r="C20" s="16" t="s">
        <v>21</v>
      </c>
      <c r="D20" s="17" t="s">
        <v>97</v>
      </c>
      <c r="E20" s="18" t="s">
        <v>98</v>
      </c>
      <c r="F20" s="18" t="s">
        <v>24</v>
      </c>
      <c r="G20" s="19" t="str">
        <f t="shared" si="4"/>
        <v>H:</v>
      </c>
      <c r="H20" s="19">
        <v>2000</v>
      </c>
      <c r="I20" s="20" t="str">
        <f t="shared" si="5"/>
        <v>W:</v>
      </c>
      <c r="J20" s="20">
        <v>200</v>
      </c>
      <c r="K20" s="21" t="str">
        <f t="shared" si="6"/>
        <v>D:</v>
      </c>
      <c r="L20" s="21">
        <v>1000</v>
      </c>
      <c r="M20" s="22"/>
      <c r="N20" s="23"/>
      <c r="O20" s="24"/>
      <c r="P20" s="25"/>
      <c r="Q20" s="26" t="str">
        <f t="shared" si="7"/>
        <v>Marco  / H:2000W:200D:1000 mm</v>
      </c>
      <c r="S20" s="27" t="s">
        <v>99</v>
      </c>
      <c r="T20" s="28" t="s">
        <v>100</v>
      </c>
      <c r="U20" s="29" t="s">
        <v>101</v>
      </c>
      <c r="V20" s="120" t="str">
        <f>Z1&amp;Z2</f>
        <v>2272</v>
      </c>
      <c r="W20" s="30" t="s">
        <v>65</v>
      </c>
      <c r="X20" s="30"/>
      <c r="Y20" s="30"/>
      <c r="Z20" s="31" t="str">
        <f>V20&amp;U20&amp;MID(W20,1,1)&amp;MID(X20,1,1)&amp;MID(Y20,1,3)</f>
        <v>2272SeF</v>
      </c>
      <c r="AA20" s="32" t="e">
        <f t="shared" si="1"/>
        <v>#N/A</v>
      </c>
      <c r="AD20" s="158" t="str">
        <f t="shared" si="8"/>
        <v>IEZ1VCFPW3-</v>
      </c>
      <c r="AE20" s="148" t="s">
        <v>733</v>
      </c>
      <c r="AF20" s="148" t="s">
        <v>697</v>
      </c>
      <c r="AG20" s="148" t="s">
        <v>888</v>
      </c>
      <c r="AH20" s="3" t="s">
        <v>739</v>
      </c>
      <c r="AI20" s="3" t="s">
        <v>716</v>
      </c>
      <c r="AJ20" s="148" t="s">
        <v>735</v>
      </c>
      <c r="AK20" s="148" t="s">
        <v>736</v>
      </c>
      <c r="AL20" s="148" t="s">
        <v>701</v>
      </c>
      <c r="AM20" s="148"/>
      <c r="AN20" s="148" t="s">
        <v>564</v>
      </c>
      <c r="AO20" s="148" t="str">
        <f t="shared" si="9"/>
        <v>I</v>
      </c>
      <c r="AP20" s="3" t="str" cm="1">
        <f t="array" ref="AP20">IFERROR(_xlfn.IFS(AH20="Mini Breaker ","MB",AH20="GoPact ","GP",AH20="EZC 100 ","EZ1",AH20="EZC 250 ","EZ2",AH20="CVS/NSX 250 ","CV2",AH20="CVS/NSX/EZC 630 ","CV6",AH20="NS 1600 ","NS1",AH20="NW/MTZ 4000 ","NW4",AH20="Conmutador PEQ. ","CP",AH20="Conmutador MED. ","CM",AH20="Conmutador GRA. ","CG",AH20="Contactores ","CK"),"")</f>
        <v>EZ1</v>
      </c>
      <c r="AQ20" s="3" t="str" cm="1">
        <f t="array" ref="AQ20">_xlfn.IFS(AI20="Horizontal ","H",AI20="Horizontal COMPUESTA ","HC",AI20="Vertical ","V",AI20="Vertical Compacta ","VC",AI20="Vertical Extendida ","VE")</f>
        <v>VC</v>
      </c>
      <c r="AR20" s="148" t="str">
        <f>MID(AJ20,1,1)</f>
        <v>F</v>
      </c>
      <c r="AS20" s="148" t="str">
        <f>MID(AK20,1,1)</f>
        <v>P</v>
      </c>
      <c r="AT20" s="148" t="str" cm="1">
        <f t="array" ref="AT20">IFERROR(_xlfn.IFS(AL20="W:200 ","W1",AL20="W:400 ","W2",AL20="W:720 ","W3",AL20="W:800 ","W4",AL20="W:1120 ","W5"),"")</f>
        <v>W3</v>
      </c>
      <c r="AU20" s="148" t="str" cm="1">
        <f t="array" ref="AU20">IFERROR(_xlfn.IFS(AM20="D:400 ","D1",AM20="D:600 ","D2",AM20="D:1000 ","D3"),"")</f>
        <v/>
      </c>
      <c r="AV20" s="148" t="s">
        <v>647</v>
      </c>
      <c r="AW20" s="148" t="s">
        <v>648</v>
      </c>
      <c r="AX20" s="159" t="str">
        <f t="shared" si="10"/>
        <v>UF.  de EZC 100 Vertical Compacta Fijo Palanca W:720 -</v>
      </c>
      <c r="BB20" s="261" t="str">
        <f t="shared" si="11"/>
        <v>3DHY</v>
      </c>
      <c r="BC20" s="261" cm="1">
        <f t="array" ref="BC20">_xlfn.IFS(BJ20="10 - 25",1,BJ20="10 - 40",2,BJ20="10 - 65",3,BJ20="10 - 85",4)</f>
        <v>3</v>
      </c>
      <c r="BD20" s="261" t="str" cm="1">
        <f t="array" ref="BD20">_xlfn.IFS(BK20="630","A",BK20="1250","B",BK20="1600","C",BK20="2000","D",BK20="2500","E",BK20="3200","F",BK20="4000","G",BK20="5000","H",BK20="6300","I",BK20="7000","J")</f>
        <v>D</v>
      </c>
      <c r="BE20" s="261" t="s">
        <v>1</v>
      </c>
      <c r="BF20" s="261" t="str" cm="1">
        <f t="array" ref="BF20">IFERROR(_xlfn.IFS(BL20="400 + 400","X",BL20="720","Y",BL20="1120","Z"),"")</f>
        <v>Y</v>
      </c>
      <c r="BG20" s="266"/>
      <c r="BH20" s="332" t="s">
        <v>783</v>
      </c>
      <c r="BI20" s="333"/>
      <c r="BJ20" s="296" t="s">
        <v>609</v>
      </c>
      <c r="BK20" s="296" t="s">
        <v>174</v>
      </c>
      <c r="BL20" s="222" t="s">
        <v>170</v>
      </c>
      <c r="BM20" s="223" t="s">
        <v>823</v>
      </c>
      <c r="BN20" s="203" t="s">
        <v>564</v>
      </c>
      <c r="BO20" s="204" t="s">
        <v>564</v>
      </c>
      <c r="BP20" s="204" t="s">
        <v>564</v>
      </c>
      <c r="BQ20" s="204" t="s">
        <v>564</v>
      </c>
      <c r="BR20" s="204" t="s">
        <v>564</v>
      </c>
      <c r="BS20" s="204" t="s">
        <v>564</v>
      </c>
      <c r="BT20" s="204" t="s">
        <v>564</v>
      </c>
      <c r="BU20" s="204" t="s">
        <v>564</v>
      </c>
      <c r="BV20" s="204" t="s">
        <v>564</v>
      </c>
      <c r="BW20" s="204" t="s">
        <v>564</v>
      </c>
      <c r="BX20" s="204" t="s">
        <v>564</v>
      </c>
      <c r="BY20" s="204" t="s">
        <v>564</v>
      </c>
      <c r="BZ20" s="204" t="s">
        <v>564</v>
      </c>
      <c r="CB20" s="261" t="str">
        <f t="shared" si="2"/>
        <v>3DVM</v>
      </c>
      <c r="CC20" s="261" t="s">
        <v>875</v>
      </c>
      <c r="CD20" s="261" t="str" cm="1">
        <f t="array" ref="CD20">IFERROR(_xlfn.IFS(CF20="1/4","M",CF20="1/2","N",CF20="3/4","O",CF20="1","P"),"")</f>
        <v>M</v>
      </c>
      <c r="CE20" s="266"/>
      <c r="CF20" s="224" t="s">
        <v>769</v>
      </c>
      <c r="CG20" s="225" t="s">
        <v>824</v>
      </c>
      <c r="CH20" s="199" t="s">
        <v>596</v>
      </c>
      <c r="CI20" s="226" t="s">
        <v>825</v>
      </c>
      <c r="CJ20" s="226" t="s">
        <v>826</v>
      </c>
      <c r="CK20" s="226" t="s">
        <v>827</v>
      </c>
      <c r="CL20" s="226" t="s">
        <v>828</v>
      </c>
      <c r="CM20" s="226" t="s">
        <v>564</v>
      </c>
      <c r="CN20" s="226" t="s">
        <v>564</v>
      </c>
      <c r="CO20" s="226" t="s">
        <v>564</v>
      </c>
      <c r="CP20" s="226" t="s">
        <v>564</v>
      </c>
    </row>
    <row r="21" spans="1:94" ht="20" customHeight="1" outlineLevel="1" x14ac:dyDescent="0.65">
      <c r="A21" s="14">
        <v>16</v>
      </c>
      <c r="B21" s="15" t="str">
        <f t="shared" si="3"/>
        <v>204040Ma</v>
      </c>
      <c r="C21" s="16" t="s">
        <v>21</v>
      </c>
      <c r="D21" s="17" t="s">
        <v>102</v>
      </c>
      <c r="E21" s="18" t="s">
        <v>86</v>
      </c>
      <c r="F21" s="18" t="s">
        <v>41</v>
      </c>
      <c r="G21" s="19" t="str">
        <f t="shared" si="4"/>
        <v>H:</v>
      </c>
      <c r="H21" s="19">
        <v>2000</v>
      </c>
      <c r="I21" s="20" t="str">
        <f t="shared" si="5"/>
        <v>W:</v>
      </c>
      <c r="J21" s="20">
        <v>400</v>
      </c>
      <c r="K21" s="21" t="str">
        <f t="shared" si="6"/>
        <v>D:</v>
      </c>
      <c r="L21" s="21">
        <v>400</v>
      </c>
      <c r="M21" s="22"/>
      <c r="N21" s="23"/>
      <c r="O21" s="24"/>
      <c r="P21" s="25"/>
      <c r="Q21" s="26" t="str">
        <f t="shared" si="7"/>
        <v>Marco  / H:2000W:400D:400 mm</v>
      </c>
      <c r="T21" s="33" t="s">
        <v>103</v>
      </c>
      <c r="AD21" s="158" t="str">
        <f t="shared" si="8"/>
        <v>IEZ1VEFPW3-</v>
      </c>
      <c r="AE21" s="148" t="s">
        <v>733</v>
      </c>
      <c r="AF21" s="148" t="s">
        <v>697</v>
      </c>
      <c r="AG21" s="148" t="s">
        <v>888</v>
      </c>
      <c r="AH21" s="3" t="s">
        <v>739</v>
      </c>
      <c r="AI21" s="3" t="s">
        <v>718</v>
      </c>
      <c r="AJ21" s="148" t="s">
        <v>735</v>
      </c>
      <c r="AK21" s="148" t="s">
        <v>736</v>
      </c>
      <c r="AL21" s="148" t="s">
        <v>701</v>
      </c>
      <c r="AM21" s="148"/>
      <c r="AN21" s="148" t="s">
        <v>564</v>
      </c>
      <c r="AO21" s="148" t="str">
        <f t="shared" si="9"/>
        <v>I</v>
      </c>
      <c r="AP21" s="3" t="str" cm="1">
        <f t="array" ref="AP21">IFERROR(_xlfn.IFS(AH21="Mini Breaker ","MB",AH21="GoPact ","GP",AH21="EZC 100 ","EZ1",AH21="EZC 250 ","EZ2",AH21="CVS/NSX 250 ","CV2",AH21="CVS/NSX/EZC 630 ","CV6",AH21="NS 1600 ","NS1",AH21="NW/MTZ 4000 ","NW4",AH21="Conmutador PEQ. ","CP",AH21="Conmutador MED. ","CM",AH21="Conmutador GRA. ","CG",AH21="Contactores ","CK"),"")</f>
        <v>EZ1</v>
      </c>
      <c r="AQ21" s="3" t="str" cm="1">
        <f t="array" ref="AQ21">_xlfn.IFS(AI21="Horizontal ","H",AI21="Horizontal COMPUESTA ","HC",AI21="Vertical ","V",AI21="Vertical Compacta ","VC",AI21="Vertical Extendida ","VE")</f>
        <v>VE</v>
      </c>
      <c r="AR21" s="148" t="str">
        <f>MID(AJ21,1,1)</f>
        <v>F</v>
      </c>
      <c r="AS21" s="148" t="str">
        <f>MID(AK21,1,1)</f>
        <v>P</v>
      </c>
      <c r="AT21" s="148" t="str" cm="1">
        <f t="array" ref="AT21">IFERROR(_xlfn.IFS(AL21="W:200 ","W1",AL21="W:400 ","W2",AL21="W:720 ","W3",AL21="W:800 ","W4",AL21="W:1120 ","W5"),"")</f>
        <v>W3</v>
      </c>
      <c r="AU21" s="148" t="str" cm="1">
        <f t="array" ref="AU21">IFERROR(_xlfn.IFS(AM21="D:400 ","D1",AM21="D:600 ","D2",AM21="D:1000 ","D3"),"")</f>
        <v/>
      </c>
      <c r="AV21" s="148" t="s">
        <v>649</v>
      </c>
      <c r="AW21" s="148" t="s">
        <v>650</v>
      </c>
      <c r="AX21" s="159" t="str">
        <f t="shared" si="10"/>
        <v>UF.  de EZC 100 Vertical Extendida Fijo Palanca W:720 -</v>
      </c>
      <c r="BB21" s="261" t="str">
        <f t="shared" si="11"/>
        <v>3DHZ</v>
      </c>
      <c r="BC21" s="261">
        <f>BC20</f>
        <v>3</v>
      </c>
      <c r="BD21" s="261" t="str">
        <f>BD20</f>
        <v>D</v>
      </c>
      <c r="BE21" s="261" t="str">
        <f>BE20</f>
        <v>H</v>
      </c>
      <c r="BF21" s="261" t="str" cm="1">
        <f t="array" ref="BF21">IFERROR(_xlfn.IFS(BL21="400 + 400","X",BL21="720","Y",BL21="1120","Z"),"")</f>
        <v>Z</v>
      </c>
      <c r="BG21" s="266"/>
      <c r="BH21" s="334"/>
      <c r="BI21" s="335"/>
      <c r="BJ21" s="296"/>
      <c r="BK21" s="296"/>
      <c r="BL21" s="222" t="s">
        <v>172</v>
      </c>
      <c r="BM21" s="223" t="s">
        <v>829</v>
      </c>
      <c r="BN21" s="203" t="s">
        <v>564</v>
      </c>
      <c r="BO21" s="204" t="s">
        <v>564</v>
      </c>
      <c r="BP21" s="204" t="s">
        <v>564</v>
      </c>
      <c r="BQ21" s="204" t="s">
        <v>564</v>
      </c>
      <c r="BR21" s="204" t="s">
        <v>564</v>
      </c>
      <c r="BS21" s="204" t="s">
        <v>564</v>
      </c>
      <c r="BT21" s="204" t="s">
        <v>564</v>
      </c>
      <c r="BU21" s="204" t="s">
        <v>564</v>
      </c>
      <c r="BV21" s="204" t="s">
        <v>564</v>
      </c>
      <c r="BW21" s="204" t="s">
        <v>564</v>
      </c>
      <c r="BX21" s="204" t="s">
        <v>564</v>
      </c>
      <c r="BY21" s="204" t="s">
        <v>564</v>
      </c>
      <c r="BZ21" s="204" t="s">
        <v>564</v>
      </c>
      <c r="CB21" s="261" t="str">
        <f t="shared" si="2"/>
        <v>3DVN</v>
      </c>
      <c r="CC21" s="261" t="s">
        <v>875</v>
      </c>
      <c r="CD21" s="261" t="str" cm="1">
        <f t="array" ref="CD21">IFERROR(_xlfn.IFS(CF21="1/4","M",CF21="1/2","N",CF21="3/4","O",CF21="1","P"),"")</f>
        <v>N</v>
      </c>
      <c r="CE21" s="266"/>
      <c r="CF21" s="224" t="s">
        <v>774</v>
      </c>
      <c r="CG21" s="225" t="s">
        <v>830</v>
      </c>
      <c r="CH21" s="199" t="s">
        <v>597</v>
      </c>
      <c r="CI21" s="299" t="s">
        <v>831</v>
      </c>
      <c r="CJ21" s="299" t="s">
        <v>832</v>
      </c>
      <c r="CK21" s="299" t="s">
        <v>833</v>
      </c>
      <c r="CL21" s="299" t="s">
        <v>834</v>
      </c>
      <c r="CM21" s="299" t="s">
        <v>564</v>
      </c>
      <c r="CN21" s="299" t="s">
        <v>564</v>
      </c>
      <c r="CO21" s="299" t="s">
        <v>564</v>
      </c>
      <c r="CP21" s="299" t="s">
        <v>564</v>
      </c>
    </row>
    <row r="22" spans="1:94" ht="20" customHeight="1" outlineLevel="1" x14ac:dyDescent="0.65">
      <c r="A22" s="14">
        <v>17</v>
      </c>
      <c r="B22" s="15" t="str">
        <f t="shared" si="3"/>
        <v>204060Ma</v>
      </c>
      <c r="C22" s="16" t="s">
        <v>21</v>
      </c>
      <c r="D22" s="17" t="s">
        <v>104</v>
      </c>
      <c r="E22" s="18" t="s">
        <v>91</v>
      </c>
      <c r="F22" s="18" t="s">
        <v>41</v>
      </c>
      <c r="G22" s="19" t="str">
        <f t="shared" si="4"/>
        <v>H:</v>
      </c>
      <c r="H22" s="19">
        <v>2000</v>
      </c>
      <c r="I22" s="20" t="str">
        <f t="shared" si="5"/>
        <v>W:</v>
      </c>
      <c r="J22" s="20">
        <v>400</v>
      </c>
      <c r="K22" s="21" t="str">
        <f t="shared" si="6"/>
        <v>D:</v>
      </c>
      <c r="L22" s="21">
        <v>600</v>
      </c>
      <c r="M22" s="22"/>
      <c r="N22" s="23"/>
      <c r="O22" s="24"/>
      <c r="P22" s="25"/>
      <c r="Q22" s="26" t="str">
        <f t="shared" si="7"/>
        <v>Marco  / H:2000W:400D:600 mm</v>
      </c>
      <c r="S22" s="34" t="s">
        <v>105</v>
      </c>
      <c r="T22" s="35" t="s">
        <v>106</v>
      </c>
      <c r="U22" s="29"/>
      <c r="V22" s="120"/>
      <c r="W22" s="30"/>
      <c r="X22" s="30"/>
      <c r="Y22" s="30"/>
      <c r="Z22" s="31" t="str">
        <f>V22&amp;U22&amp;MID(W22,1,1)&amp;MID(X22,1,1)&amp;MID(Y22,1,3)</f>
        <v/>
      </c>
      <c r="AA22" s="36" t="s">
        <v>107</v>
      </c>
      <c r="AD22" s="158" t="str">
        <f t="shared" si="8"/>
        <v>IEZ1HFPW3-</v>
      </c>
      <c r="AE22" s="148" t="s">
        <v>733</v>
      </c>
      <c r="AF22" s="148" t="s">
        <v>697</v>
      </c>
      <c r="AG22" s="148" t="s">
        <v>888</v>
      </c>
      <c r="AH22" s="3" t="s">
        <v>739</v>
      </c>
      <c r="AI22" s="3" t="s">
        <v>699</v>
      </c>
      <c r="AJ22" s="148" t="s">
        <v>735</v>
      </c>
      <c r="AK22" s="148" t="s">
        <v>736</v>
      </c>
      <c r="AL22" s="148" t="s">
        <v>701</v>
      </c>
      <c r="AM22" s="148"/>
      <c r="AN22" s="148" t="s">
        <v>564</v>
      </c>
      <c r="AO22" s="148" t="str">
        <f t="shared" si="9"/>
        <v>I</v>
      </c>
      <c r="AP22" s="3" t="str" cm="1">
        <f t="array" ref="AP22">IFERROR(_xlfn.IFS(AH22="Mini Breaker ","MB",AH22="GoPact ","GP",AH22="EZC 100 ","EZ1",AH22="EZC 250 ","EZ2",AH22="CVS/NSX 250 ","CV2",AH22="CVS/NSX/EZC 630 ","CV6",AH22="NS 1600 ","NS1",AH22="NW/MTZ 4000 ","NW4",AH22="Conmutador PEQ. ","CP",AH22="Conmutador MED. ","CM",AH22="Conmutador GRA. ","CG",AH22="Contactores ","CK"),"")</f>
        <v>EZ1</v>
      </c>
      <c r="AQ22" s="3" t="str" cm="1">
        <f t="array" ref="AQ22">_xlfn.IFS(AI22="Horizontal ","H",AI22="Horizontal COMPUESTA ","HC",AI22="Vertical ","V",AI22="Vertical Compacta ","VC",AI22="Vertical Extendida ","VE")</f>
        <v>H</v>
      </c>
      <c r="AR22" s="148" t="str">
        <f>MID(AJ22,1,1)</f>
        <v>F</v>
      </c>
      <c r="AS22" s="148" t="str">
        <f>MID(AK22,1,1)</f>
        <v>P</v>
      </c>
      <c r="AT22" s="148" t="str" cm="1">
        <f t="array" ref="AT22">IFERROR(_xlfn.IFS(AL22="W:200 ","W1",AL22="W:400 ","W2",AL22="W:720 ","W3",AL22="W:800 ","W4",AL22="W:1120 ","W5"),"")</f>
        <v>W3</v>
      </c>
      <c r="AU22" s="148" t="str" cm="1">
        <f t="array" ref="AU22">IFERROR(_xlfn.IFS(AM22="D:400 ","D1",AM22="D:600 ","D2",AM22="D:1000 ","D3"),"")</f>
        <v/>
      </c>
      <c r="AV22" s="148" t="s">
        <v>651</v>
      </c>
      <c r="AW22" s="148" t="s">
        <v>652</v>
      </c>
      <c r="AX22" s="159" t="str">
        <f t="shared" si="10"/>
        <v>UF.  de EZC 100 Horizontal Fijo Palanca W:720 -</v>
      </c>
      <c r="BB22" s="261" t="str">
        <f t="shared" si="11"/>
        <v>3DH</v>
      </c>
      <c r="BC22" s="261">
        <f t="shared" ref="BC22:BC24" si="18">BC21</f>
        <v>3</v>
      </c>
      <c r="BD22" s="261" t="str">
        <f t="shared" ref="BD22:BD24" si="19">BD21</f>
        <v>D</v>
      </c>
      <c r="BE22" s="261" t="str">
        <f t="shared" ref="BE22:BE24" si="20">BE21</f>
        <v>H</v>
      </c>
      <c r="BF22" s="261" t="str" cm="1">
        <f t="array" ref="BF22">IFERROR(_xlfn.IFS(BL22="400 + 400","X",BL22="720","Y",BL22="1120","Z"),"")</f>
        <v/>
      </c>
      <c r="BG22" s="266"/>
      <c r="BH22" s="334"/>
      <c r="BI22" s="335"/>
      <c r="BJ22" s="296"/>
      <c r="BK22" s="296"/>
      <c r="BL22" s="222" t="s">
        <v>564</v>
      </c>
      <c r="BM22" s="223" t="s">
        <v>564</v>
      </c>
      <c r="BN22" s="203" t="s">
        <v>564</v>
      </c>
      <c r="BO22" s="204" t="s">
        <v>564</v>
      </c>
      <c r="BP22" s="204" t="s">
        <v>564</v>
      </c>
      <c r="BQ22" s="204" t="s">
        <v>564</v>
      </c>
      <c r="BR22" s="204" t="s">
        <v>564</v>
      </c>
      <c r="BS22" s="204" t="s">
        <v>564</v>
      </c>
      <c r="BT22" s="204" t="s">
        <v>564</v>
      </c>
      <c r="BU22" s="204" t="s">
        <v>564</v>
      </c>
      <c r="BV22" s="204" t="s">
        <v>564</v>
      </c>
      <c r="BW22" s="204" t="s">
        <v>564</v>
      </c>
      <c r="BX22" s="204" t="s">
        <v>564</v>
      </c>
      <c r="BY22" s="204" t="s">
        <v>564</v>
      </c>
      <c r="BZ22" s="204" t="s">
        <v>564</v>
      </c>
      <c r="CB22" s="261" t="str">
        <f t="shared" si="2"/>
        <v>3DVO</v>
      </c>
      <c r="CC22" s="261" t="s">
        <v>875</v>
      </c>
      <c r="CD22" s="261" t="str" cm="1">
        <f t="array" ref="CD22">IFERROR(_xlfn.IFS(CF22="1/4","M",CF22="1/2","N",CF22="3/4","O",CF22="1","P"),"")</f>
        <v>O</v>
      </c>
      <c r="CE22" s="266"/>
      <c r="CF22" s="224" t="s">
        <v>780</v>
      </c>
      <c r="CG22" s="225" t="s">
        <v>835</v>
      </c>
      <c r="CH22" s="199" t="s">
        <v>598</v>
      </c>
      <c r="CI22" s="299"/>
      <c r="CJ22" s="299"/>
      <c r="CK22" s="299"/>
      <c r="CL22" s="299"/>
      <c r="CM22" s="299"/>
      <c r="CN22" s="299"/>
      <c r="CO22" s="299"/>
      <c r="CP22" s="299"/>
    </row>
    <row r="23" spans="1:94" ht="20" customHeight="1" outlineLevel="1" x14ac:dyDescent="0.65">
      <c r="A23" s="14">
        <v>18</v>
      </c>
      <c r="B23" s="15" t="str">
        <f t="shared" si="3"/>
        <v>204010Ma</v>
      </c>
      <c r="C23" s="16" t="s">
        <v>21</v>
      </c>
      <c r="D23" s="17" t="s">
        <v>108</v>
      </c>
      <c r="E23" s="18" t="s">
        <v>98</v>
      </c>
      <c r="F23" s="18" t="s">
        <v>41</v>
      </c>
      <c r="G23" s="19" t="str">
        <f t="shared" si="4"/>
        <v>H:</v>
      </c>
      <c r="H23" s="19">
        <v>2000</v>
      </c>
      <c r="I23" s="20" t="str">
        <f t="shared" si="5"/>
        <v>W:</v>
      </c>
      <c r="J23" s="20">
        <v>400</v>
      </c>
      <c r="K23" s="21" t="str">
        <f t="shared" si="6"/>
        <v>D:</v>
      </c>
      <c r="L23" s="21">
        <v>1000</v>
      </c>
      <c r="M23" s="22"/>
      <c r="N23" s="23"/>
      <c r="O23" s="24"/>
      <c r="P23" s="25"/>
      <c r="Q23" s="26" t="str">
        <f t="shared" si="7"/>
        <v>Marco  / H:2000W:400D:1000 mm</v>
      </c>
      <c r="S23" s="34" t="s">
        <v>109</v>
      </c>
      <c r="T23" s="35" t="s">
        <v>110</v>
      </c>
      <c r="U23" s="29" t="s">
        <v>111</v>
      </c>
      <c r="V23" s="120"/>
      <c r="W23" s="30"/>
      <c r="X23" s="30"/>
      <c r="Y23" s="30"/>
      <c r="Z23" s="31" t="str">
        <f t="shared" ref="Z23:Z25" si="21">V23&amp;U23&amp;MID(W23,1,1)&amp;MID(X23,1,1)&amp;MID(Y23,1,3)</f>
        <v>CaE</v>
      </c>
      <c r="AA23" s="37" t="str">
        <f>VLOOKUP(Z23,$B$6:$D$470,3,FALSE)</f>
        <v>014501</v>
      </c>
      <c r="AD23" s="158" t="str">
        <f t="shared" si="8"/>
        <v xml:space="preserve">IEZ1HFPW3DPS </v>
      </c>
      <c r="AE23" s="148" t="s">
        <v>733</v>
      </c>
      <c r="AF23" s="148" t="s">
        <v>697</v>
      </c>
      <c r="AG23" s="148" t="s">
        <v>888</v>
      </c>
      <c r="AH23" s="3" t="s">
        <v>739</v>
      </c>
      <c r="AI23" s="3" t="s">
        <v>699</v>
      </c>
      <c r="AJ23" s="148" t="s">
        <v>735</v>
      </c>
      <c r="AK23" s="148" t="s">
        <v>736</v>
      </c>
      <c r="AL23" s="148" t="s">
        <v>701</v>
      </c>
      <c r="AM23" s="148"/>
      <c r="AN23" s="148" t="s">
        <v>702</v>
      </c>
      <c r="AO23" s="148" t="str">
        <f t="shared" si="9"/>
        <v>I</v>
      </c>
      <c r="AP23" s="3" t="str" cm="1">
        <f t="array" ref="AP23">IFERROR(_xlfn.IFS(AH23="Mini Breaker ","MB",AH23="GoPact ","GP",AH23="EZC 100 ","EZ1",AH23="EZC 250 ","EZ2",AH23="CVS/NSX 250 ","CV2",AH23="CVS/NSX/EZC 630 ","CV6",AH23="NS 1600 ","NS1",AH23="NW/MTZ 4000 ","NW4",AH23="Conmutador PEQ. ","CP",AH23="Conmutador MED. ","CM",AH23="Conmutador GRA. ","CG",AH23="Contactores ","CK"),"")</f>
        <v>EZ1</v>
      </c>
      <c r="AQ23" s="3" t="str" cm="1">
        <f t="array" ref="AQ23">_xlfn.IFS(AI23="Horizontal ","H",AI23="Horizontal COMPUESTA ","HC",AI23="Vertical ","V",AI23="Vertical Compacta ","VC",AI23="Vertical Extendida ","VE")</f>
        <v>H</v>
      </c>
      <c r="AR23" s="148" t="str">
        <f>MID(AJ23,1,1)</f>
        <v>F</v>
      </c>
      <c r="AS23" s="148" t="str">
        <f>MID(AK23,1,1)</f>
        <v>P</v>
      </c>
      <c r="AT23" s="148" t="str" cm="1">
        <f t="array" ref="AT23">IFERROR(_xlfn.IFS(AL23="W:200 ","W1",AL23="W:400 ","W2",AL23="W:720 ","W3",AL23="W:800 ","W4",AL23="W:1120 ","W5"),"")</f>
        <v>W3</v>
      </c>
      <c r="AU23" s="148" t="str" cm="1">
        <f t="array" ref="AU23">IFERROR(_xlfn.IFS(AM23="D:400 ","D1",AM23="D:600 ","D2",AM23="D:1000 ","D3"),"")</f>
        <v/>
      </c>
      <c r="AV23" s="148" t="s">
        <v>653</v>
      </c>
      <c r="AW23" s="148" t="s">
        <v>654</v>
      </c>
      <c r="AX23" s="159" t="str">
        <f t="shared" si="10"/>
        <v xml:space="preserve">UF.  de EZC 100 Horizontal Fijo Palanca W:720 DPS </v>
      </c>
      <c r="BB23" s="261" t="str">
        <f t="shared" si="11"/>
        <v>3DH</v>
      </c>
      <c r="BC23" s="261">
        <f t="shared" si="18"/>
        <v>3</v>
      </c>
      <c r="BD23" s="261" t="str">
        <f t="shared" si="19"/>
        <v>D</v>
      </c>
      <c r="BE23" s="261" t="str">
        <f t="shared" si="20"/>
        <v>H</v>
      </c>
      <c r="BF23" s="261" t="str" cm="1">
        <f t="array" ref="BF23">IFERROR(_xlfn.IFS(BL23="400 + 400","X",BL23="720","Y",BL23="1120","Z"),"")</f>
        <v/>
      </c>
      <c r="BG23" s="266"/>
      <c r="BH23" s="334"/>
      <c r="BI23" s="335"/>
      <c r="BJ23" s="296"/>
      <c r="BK23" s="296"/>
      <c r="BL23" s="222" t="s">
        <v>564</v>
      </c>
      <c r="BM23" s="223" t="s">
        <v>564</v>
      </c>
      <c r="BN23" s="203" t="s">
        <v>564</v>
      </c>
      <c r="BO23" s="204" t="s">
        <v>564</v>
      </c>
      <c r="BP23" s="204" t="s">
        <v>564</v>
      </c>
      <c r="BQ23" s="204" t="s">
        <v>564</v>
      </c>
      <c r="BR23" s="204" t="s">
        <v>564</v>
      </c>
      <c r="BS23" s="204" t="s">
        <v>564</v>
      </c>
      <c r="BT23" s="204" t="s">
        <v>564</v>
      </c>
      <c r="BU23" s="204" t="s">
        <v>564</v>
      </c>
      <c r="BV23" s="204" t="s">
        <v>564</v>
      </c>
      <c r="BW23" s="204" t="s">
        <v>564</v>
      </c>
      <c r="BX23" s="204" t="s">
        <v>564</v>
      </c>
      <c r="BY23" s="204" t="s">
        <v>564</v>
      </c>
      <c r="BZ23" s="204" t="s">
        <v>564</v>
      </c>
      <c r="CB23" s="261" t="str">
        <f t="shared" si="2"/>
        <v>3DVP</v>
      </c>
      <c r="CC23" s="261" t="s">
        <v>875</v>
      </c>
      <c r="CD23" s="261" t="str" cm="1">
        <f t="array" ref="CD23">IFERROR(_xlfn.IFS(CF23="1/4","M",CF23="1/2","N",CF23="3/4","O",CF23="1","P"),"")</f>
        <v>P</v>
      </c>
      <c r="CE23" s="266"/>
      <c r="CF23" s="224" t="s">
        <v>604</v>
      </c>
      <c r="CG23" s="225" t="s">
        <v>836</v>
      </c>
      <c r="CH23" s="199" t="s">
        <v>599</v>
      </c>
      <c r="CI23" s="226" t="s">
        <v>564</v>
      </c>
      <c r="CJ23" s="226" t="s">
        <v>564</v>
      </c>
      <c r="CK23" s="226" t="s">
        <v>564</v>
      </c>
      <c r="CL23" s="226" t="s">
        <v>564</v>
      </c>
      <c r="CM23" s="226" t="s">
        <v>837</v>
      </c>
      <c r="CN23" s="226" t="s">
        <v>837</v>
      </c>
      <c r="CO23" s="226" t="s">
        <v>838</v>
      </c>
      <c r="CP23" s="226" t="s">
        <v>839</v>
      </c>
    </row>
    <row r="24" spans="1:94" ht="20" customHeight="1" outlineLevel="1" x14ac:dyDescent="0.65">
      <c r="A24" s="14">
        <v>19</v>
      </c>
      <c r="B24" s="15" t="str">
        <f t="shared" si="3"/>
        <v>207240Ma</v>
      </c>
      <c r="C24" s="16" t="s">
        <v>21</v>
      </c>
      <c r="D24" s="17" t="s">
        <v>112</v>
      </c>
      <c r="E24" s="18" t="s">
        <v>86</v>
      </c>
      <c r="F24" s="18" t="s">
        <v>57</v>
      </c>
      <c r="G24" s="19" t="str">
        <f t="shared" si="4"/>
        <v>H:</v>
      </c>
      <c r="H24" s="19">
        <v>2000</v>
      </c>
      <c r="I24" s="20" t="str">
        <f t="shared" si="5"/>
        <v>W:</v>
      </c>
      <c r="J24" s="20">
        <v>720</v>
      </c>
      <c r="K24" s="21" t="str">
        <f t="shared" si="6"/>
        <v>D:</v>
      </c>
      <c r="L24" s="21">
        <v>400</v>
      </c>
      <c r="M24" s="22"/>
      <c r="N24" s="23"/>
      <c r="O24" s="24"/>
      <c r="P24" s="25"/>
      <c r="Q24" s="26" t="str">
        <f t="shared" si="7"/>
        <v>Marco  / H:2000W:720D:400 mm</v>
      </c>
      <c r="S24" s="34" t="s">
        <v>113</v>
      </c>
      <c r="T24" s="35" t="s">
        <v>114</v>
      </c>
      <c r="U24" s="29" t="s">
        <v>115</v>
      </c>
      <c r="V24" s="120"/>
      <c r="W24" s="30"/>
      <c r="X24" s="30"/>
      <c r="Y24" s="30"/>
      <c r="Z24" s="31" t="str">
        <f t="shared" si="21"/>
        <v>AnI</v>
      </c>
      <c r="AA24" s="37" t="str">
        <f>VLOOKUP(Z24,$B$6:$D$470,3,FALSE)</f>
        <v>014502</v>
      </c>
      <c r="AD24" s="158" t="str">
        <f t="shared" si="8"/>
        <v xml:space="preserve">IEZ1HFPW3HWA </v>
      </c>
      <c r="AE24" s="148" t="s">
        <v>733</v>
      </c>
      <c r="AF24" s="148" t="s">
        <v>697</v>
      </c>
      <c r="AG24" s="148" t="s">
        <v>888</v>
      </c>
      <c r="AH24" s="3" t="s">
        <v>739</v>
      </c>
      <c r="AI24" s="3" t="s">
        <v>699</v>
      </c>
      <c r="AJ24" s="148" t="s">
        <v>735</v>
      </c>
      <c r="AK24" s="148" t="s">
        <v>736</v>
      </c>
      <c r="AL24" s="148" t="s">
        <v>701</v>
      </c>
      <c r="AM24" s="148"/>
      <c r="AN24" s="148" t="s">
        <v>703</v>
      </c>
      <c r="AO24" s="148" t="str">
        <f t="shared" si="9"/>
        <v>I</v>
      </c>
      <c r="AP24" s="3" t="str" cm="1">
        <f t="array" ref="AP24">IFERROR(_xlfn.IFS(AH24="Mini Breaker ","MB",AH24="GoPact ","GP",AH24="EZC 100 ","EZ1",AH24="EZC 250 ","EZ2",AH24="CVS/NSX 250 ","CV2",AH24="CVS/NSX/EZC 630 ","CV6",AH24="NS 1600 ","NS1",AH24="NW/MTZ 4000 ","NW4",AH24="Conmutador PEQ. ","CP",AH24="Conmutador MED. ","CM",AH24="Conmutador GRA. ","CG",AH24="Contactores ","CK"),"")</f>
        <v>EZ1</v>
      </c>
      <c r="AQ24" s="3" t="str" cm="1">
        <f t="array" ref="AQ24">_xlfn.IFS(AI24="Horizontal ","H",AI24="Horizontal COMPUESTA ","HC",AI24="Vertical ","V",AI24="Vertical Compacta ","VC",AI24="Vertical Extendida ","VE")</f>
        <v>H</v>
      </c>
      <c r="AR24" s="148" t="str">
        <f>MID(AJ24,1,1)</f>
        <v>F</v>
      </c>
      <c r="AS24" s="148" t="str">
        <f>MID(AK24,1,1)</f>
        <v>P</v>
      </c>
      <c r="AT24" s="148" t="str" cm="1">
        <f t="array" ref="AT24">IFERROR(_xlfn.IFS(AL24="W:200 ","W1",AL24="W:400 ","W2",AL24="W:720 ","W3",AL24="W:800 ","W4",AL24="W:1120 ","W5"),"")</f>
        <v>W3</v>
      </c>
      <c r="AU24" s="148" t="str" cm="1">
        <f t="array" ref="AU24">IFERROR(_xlfn.IFS(AM24="D:400 ","D1",AM24="D:600 ","D2",AM24="D:1000 ","D3"),"")</f>
        <v/>
      </c>
      <c r="AV24" s="148" t="s">
        <v>655</v>
      </c>
      <c r="AW24" s="148" t="s">
        <v>656</v>
      </c>
      <c r="AX24" s="159" t="str">
        <f t="shared" si="10"/>
        <v xml:space="preserve">UF.  de EZC 100 Horizontal Fijo Palanca W:720 HWA </v>
      </c>
      <c r="BB24" s="261" t="str">
        <f t="shared" si="11"/>
        <v>3DH</v>
      </c>
      <c r="BC24" s="261">
        <f t="shared" si="18"/>
        <v>3</v>
      </c>
      <c r="BD24" s="261" t="str">
        <f t="shared" si="19"/>
        <v>D</v>
      </c>
      <c r="BE24" s="261" t="str">
        <f t="shared" si="20"/>
        <v>H</v>
      </c>
      <c r="BF24" s="261" t="str" cm="1">
        <f t="array" ref="BF24">IFERROR(_xlfn.IFS(BL24="400 + 400","X",BL24="720","Y",BL24="1120","Z"),"")</f>
        <v/>
      </c>
      <c r="BG24" s="266"/>
      <c r="BH24" s="334"/>
      <c r="BI24" s="335"/>
      <c r="BJ24" s="296"/>
      <c r="BK24" s="296"/>
      <c r="BL24" s="222"/>
      <c r="BM24" s="223"/>
      <c r="BN24" s="203" t="s">
        <v>600</v>
      </c>
      <c r="BO24" s="204" t="s">
        <v>564</v>
      </c>
      <c r="BP24" s="204" t="s">
        <v>564</v>
      </c>
      <c r="BQ24" s="204" t="s">
        <v>564</v>
      </c>
      <c r="BR24" s="204" t="s">
        <v>564</v>
      </c>
      <c r="BS24" s="204" t="s">
        <v>840</v>
      </c>
      <c r="BT24" s="204" t="s">
        <v>841</v>
      </c>
      <c r="BU24" s="204" t="s">
        <v>842</v>
      </c>
      <c r="BV24" s="204" t="s">
        <v>843</v>
      </c>
      <c r="BW24" s="204" t="s">
        <v>844</v>
      </c>
      <c r="BX24" s="204" t="s">
        <v>564</v>
      </c>
      <c r="BY24" s="204" t="s">
        <v>564</v>
      </c>
      <c r="BZ24" s="204" t="s">
        <v>564</v>
      </c>
      <c r="CB24" s="261" t="str">
        <f t="shared" si="2"/>
        <v>3DV</v>
      </c>
      <c r="CC24" s="261" t="s">
        <v>875</v>
      </c>
      <c r="CD24" s="261" t="str" cm="1">
        <f t="array" ref="CD24">IFERROR(_xlfn.IFS(CF24="1/4","M",CF24="1/2","N",CF24="3/4","O",CF24="1","P"),"")</f>
        <v/>
      </c>
      <c r="CE24" s="266"/>
      <c r="CF24" s="224" t="s">
        <v>564</v>
      </c>
      <c r="CG24" s="228" t="s">
        <v>564</v>
      </c>
      <c r="CH24" s="229" t="s">
        <v>564</v>
      </c>
      <c r="CI24" s="230" t="s">
        <v>564</v>
      </c>
      <c r="CJ24" s="230" t="s">
        <v>564</v>
      </c>
      <c r="CK24" s="230" t="s">
        <v>564</v>
      </c>
      <c r="CL24" s="230" t="s">
        <v>564</v>
      </c>
      <c r="CM24" s="230" t="s">
        <v>564</v>
      </c>
      <c r="CN24" s="230" t="s">
        <v>564</v>
      </c>
      <c r="CO24" s="230" t="s">
        <v>564</v>
      </c>
      <c r="CP24" s="230" t="s">
        <v>564</v>
      </c>
    </row>
    <row r="25" spans="1:94" ht="20" customHeight="1" outlineLevel="1" x14ac:dyDescent="0.65">
      <c r="A25" s="14">
        <v>20</v>
      </c>
      <c r="B25" s="15" t="str">
        <f t="shared" si="3"/>
        <v>207260Ma</v>
      </c>
      <c r="C25" s="16" t="s">
        <v>21</v>
      </c>
      <c r="D25" s="17" t="s">
        <v>116</v>
      </c>
      <c r="E25" s="18" t="s">
        <v>91</v>
      </c>
      <c r="F25" s="18" t="s">
        <v>57</v>
      </c>
      <c r="G25" s="19" t="str">
        <f t="shared" si="4"/>
        <v>H:</v>
      </c>
      <c r="H25" s="19">
        <v>2000</v>
      </c>
      <c r="I25" s="20" t="str">
        <f t="shared" si="5"/>
        <v>W:</v>
      </c>
      <c r="J25" s="20">
        <v>720</v>
      </c>
      <c r="K25" s="21" t="str">
        <f t="shared" si="6"/>
        <v>D:</v>
      </c>
      <c r="L25" s="21">
        <v>600</v>
      </c>
      <c r="M25" s="22"/>
      <c r="N25" s="23"/>
      <c r="O25" s="24"/>
      <c r="P25" s="25"/>
      <c r="Q25" s="26" t="str">
        <f t="shared" si="7"/>
        <v>Marco  / H:2000W:720D:600 mm</v>
      </c>
      <c r="S25" s="34" t="s">
        <v>117</v>
      </c>
      <c r="T25" s="35" t="s">
        <v>118</v>
      </c>
      <c r="U25" s="29"/>
      <c r="V25" s="120"/>
      <c r="W25" s="30"/>
      <c r="X25" s="30"/>
      <c r="Y25" s="30"/>
      <c r="Z25" s="31" t="str">
        <f t="shared" si="21"/>
        <v/>
      </c>
      <c r="AA25" s="36" t="s">
        <v>107</v>
      </c>
      <c r="AD25" s="158" t="str">
        <f t="shared" si="8"/>
        <v>IEZ2VCFPW3-</v>
      </c>
      <c r="AE25" s="148" t="s">
        <v>733</v>
      </c>
      <c r="AF25" s="148" t="s">
        <v>697</v>
      </c>
      <c r="AG25" s="148" t="s">
        <v>888</v>
      </c>
      <c r="AH25" s="3" t="s">
        <v>740</v>
      </c>
      <c r="AI25" s="3" t="s">
        <v>716</v>
      </c>
      <c r="AJ25" s="148" t="s">
        <v>735</v>
      </c>
      <c r="AK25" s="148" t="s">
        <v>736</v>
      </c>
      <c r="AL25" s="148" t="s">
        <v>701</v>
      </c>
      <c r="AM25" s="148"/>
      <c r="AN25" s="148" t="s">
        <v>564</v>
      </c>
      <c r="AO25" s="148" t="str">
        <f t="shared" si="9"/>
        <v>I</v>
      </c>
      <c r="AP25" s="3" t="str" cm="1">
        <f t="array" ref="AP25">IFERROR(_xlfn.IFS(AH25="Mini Breaker ","MB",AH25="GoPact ","GP",AH25="EZC 100 ","EZ1",AH25="EZC 250 ","EZ2",AH25="CVS/NSX 250 ","CV2",AH25="CVS/NSX/EZC 630 ","CV6",AH25="NS 1600 ","NS1",AH25="NW/MTZ 4000 ","NW4",AH25="Conmutador PEQ. ","CP",AH25="Conmutador MED. ","CM",AH25="Conmutador GRA. ","CG",AH25="Contactores ","CK"),"")</f>
        <v>EZ2</v>
      </c>
      <c r="AQ25" s="3" t="str" cm="1">
        <f t="array" ref="AQ25">_xlfn.IFS(AI25="Horizontal ","H",AI25="Horizontal COMPUESTA ","HC",AI25="Vertical ","V",AI25="Vertical Compacta ","VC",AI25="Vertical Extendida ","VE")</f>
        <v>VC</v>
      </c>
      <c r="AR25" s="148" t="str">
        <f>MID(AJ25,1,1)</f>
        <v>F</v>
      </c>
      <c r="AS25" s="148" t="str">
        <f>MID(AK25,1,1)</f>
        <v>P</v>
      </c>
      <c r="AT25" s="148" t="str" cm="1">
        <f t="array" ref="AT25">IFERROR(_xlfn.IFS(AL25="W:200 ","W1",AL25="W:400 ","W2",AL25="W:720 ","W3",AL25="W:800 ","W4",AL25="W:1120 ","W5"),"")</f>
        <v>W3</v>
      </c>
      <c r="AU25" s="148" t="str" cm="1">
        <f t="array" ref="AU25">IFERROR(_xlfn.IFS(AM25="D:400 ","D1",AM25="D:600 ","D2",AM25="D:1000 ","D3"),"")</f>
        <v/>
      </c>
      <c r="AV25" s="148" t="s">
        <v>657</v>
      </c>
      <c r="AW25" s="148" t="s">
        <v>658</v>
      </c>
      <c r="AX25" s="159" t="str">
        <f t="shared" si="10"/>
        <v>UF.  de EZC 250 Vertical Compacta Fijo Palanca W:720 -</v>
      </c>
      <c r="BB25" s="262" t="str">
        <f t="shared" si="11"/>
        <v>3EHY</v>
      </c>
      <c r="BC25" s="262" cm="1">
        <f t="array" ref="BC25">_xlfn.IFS(BJ25="10 - 25",1,BJ25="10 - 40",2,BJ25="10 - 65",3,BJ25="10 - 85",4)</f>
        <v>3</v>
      </c>
      <c r="BD25" s="262" t="str" cm="1">
        <f t="array" ref="BD25">_xlfn.IFS(BK25="630","A",BK25="1250","B",BK25="1600","C",BK25="2000","D",BK25="2500","E",BK25="3200","F",BK25="4000","G",BK25="5000","H",BK25="6300","I",BK25="7000","J")</f>
        <v>E</v>
      </c>
      <c r="BE25" s="262" t="s">
        <v>1</v>
      </c>
      <c r="BF25" s="262" t="str" cm="1">
        <f t="array" ref="BF25">IFERROR(_xlfn.IFS(BL25="400 + 400","X",BL25="720","Y",BL25="1120","Z"),"")</f>
        <v>Y</v>
      </c>
      <c r="BG25" s="266"/>
      <c r="BH25" s="334"/>
      <c r="BI25" s="335"/>
      <c r="BJ25" s="297" t="s">
        <v>609</v>
      </c>
      <c r="BK25" s="297" t="s">
        <v>610</v>
      </c>
      <c r="BL25" s="197" t="s">
        <v>170</v>
      </c>
      <c r="BM25" s="227" t="s">
        <v>845</v>
      </c>
      <c r="BN25" s="199" t="s">
        <v>564</v>
      </c>
      <c r="BO25" s="226" t="s">
        <v>564</v>
      </c>
      <c r="BP25" s="226" t="s">
        <v>564</v>
      </c>
      <c r="BQ25" s="226" t="s">
        <v>564</v>
      </c>
      <c r="BR25" s="226" t="s">
        <v>564</v>
      </c>
      <c r="BS25" s="226" t="s">
        <v>564</v>
      </c>
      <c r="BT25" s="226" t="s">
        <v>564</v>
      </c>
      <c r="BU25" s="226" t="s">
        <v>564</v>
      </c>
      <c r="BV25" s="226" t="s">
        <v>564</v>
      </c>
      <c r="BW25" s="226" t="s">
        <v>564</v>
      </c>
      <c r="BX25" s="226" t="s">
        <v>564</v>
      </c>
      <c r="BY25" s="226" t="s">
        <v>564</v>
      </c>
      <c r="BZ25" s="226" t="s">
        <v>564</v>
      </c>
      <c r="CB25" s="262" t="str">
        <f t="shared" si="2"/>
        <v>3EVM</v>
      </c>
      <c r="CC25" s="262" t="s">
        <v>875</v>
      </c>
      <c r="CD25" s="262" t="str" cm="1">
        <f t="array" ref="CD25">IFERROR(_xlfn.IFS(CF25="1/4","M",CF25="1/2","N",CF25="3/4","O",CF25="1","P"),"")</f>
        <v>M</v>
      </c>
      <c r="CE25" s="266"/>
      <c r="CF25" s="201" t="s">
        <v>769</v>
      </c>
      <c r="CG25" s="202" t="s">
        <v>846</v>
      </c>
      <c r="CH25" s="203" t="s">
        <v>596</v>
      </c>
      <c r="CI25" s="204" t="s">
        <v>825</v>
      </c>
      <c r="CJ25" s="204" t="s">
        <v>826</v>
      </c>
      <c r="CK25" s="204" t="s">
        <v>827</v>
      </c>
      <c r="CL25" s="204" t="s">
        <v>828</v>
      </c>
      <c r="CM25" s="204" t="s">
        <v>564</v>
      </c>
      <c r="CN25" s="204" t="s">
        <v>564</v>
      </c>
      <c r="CO25" s="204" t="s">
        <v>564</v>
      </c>
      <c r="CP25" s="204" t="s">
        <v>564</v>
      </c>
    </row>
    <row r="26" spans="1:94" ht="20" customHeight="1" outlineLevel="1" x14ac:dyDescent="0.65">
      <c r="A26" s="14">
        <v>21</v>
      </c>
      <c r="B26" s="15" t="str">
        <f t="shared" si="3"/>
        <v>207210Ma</v>
      </c>
      <c r="C26" s="16" t="s">
        <v>21</v>
      </c>
      <c r="D26" s="17" t="s">
        <v>119</v>
      </c>
      <c r="E26" s="18" t="s">
        <v>98</v>
      </c>
      <c r="F26" s="18" t="s">
        <v>57</v>
      </c>
      <c r="G26" s="19" t="str">
        <f t="shared" si="4"/>
        <v>H:</v>
      </c>
      <c r="H26" s="19">
        <v>2000</v>
      </c>
      <c r="I26" s="20" t="str">
        <f t="shared" si="5"/>
        <v>W:</v>
      </c>
      <c r="J26" s="20">
        <v>720</v>
      </c>
      <c r="K26" s="21" t="str">
        <f t="shared" si="6"/>
        <v>D:</v>
      </c>
      <c r="L26" s="21">
        <v>1000</v>
      </c>
      <c r="M26" s="22"/>
      <c r="N26" s="23"/>
      <c r="O26" s="24"/>
      <c r="P26" s="25"/>
      <c r="Q26" s="26" t="str">
        <f t="shared" si="7"/>
        <v>Marco  / H:2000W:720D:1000 mm</v>
      </c>
      <c r="T26" s="33" t="s">
        <v>103</v>
      </c>
      <c r="AD26" s="158" t="str">
        <f t="shared" si="8"/>
        <v>IEZ2VEFPW3-</v>
      </c>
      <c r="AE26" s="148" t="s">
        <v>733</v>
      </c>
      <c r="AF26" s="148" t="s">
        <v>697</v>
      </c>
      <c r="AG26" s="148" t="s">
        <v>888</v>
      </c>
      <c r="AH26" s="3" t="s">
        <v>740</v>
      </c>
      <c r="AI26" s="3" t="s">
        <v>718</v>
      </c>
      <c r="AJ26" s="148" t="s">
        <v>735</v>
      </c>
      <c r="AK26" s="148" t="s">
        <v>736</v>
      </c>
      <c r="AL26" s="148" t="s">
        <v>701</v>
      </c>
      <c r="AM26" s="148"/>
      <c r="AN26" s="148" t="s">
        <v>564</v>
      </c>
      <c r="AO26" s="148" t="str">
        <f t="shared" si="9"/>
        <v>I</v>
      </c>
      <c r="AP26" s="3" t="str" cm="1">
        <f t="array" ref="AP26">IFERROR(_xlfn.IFS(AH26="Mini Breaker ","MB",AH26="GoPact ","GP",AH26="EZC 100 ","EZ1",AH26="EZC 250 ","EZ2",AH26="CVS/NSX 250 ","CV2",AH26="CVS/NSX/EZC 630 ","CV6",AH26="NS 1600 ","NS1",AH26="NW/MTZ 4000 ","NW4",AH26="Conmutador PEQ. ","CP",AH26="Conmutador MED. ","CM",AH26="Conmutador GRA. ","CG",AH26="Contactores ","CK"),"")</f>
        <v>EZ2</v>
      </c>
      <c r="AQ26" s="3" t="str" cm="1">
        <f t="array" ref="AQ26">_xlfn.IFS(AI26="Horizontal ","H",AI26="Horizontal COMPUESTA ","HC",AI26="Vertical ","V",AI26="Vertical Compacta ","VC",AI26="Vertical Extendida ","VE")</f>
        <v>VE</v>
      </c>
      <c r="AR26" s="148" t="str">
        <f>MID(AJ26,1,1)</f>
        <v>F</v>
      </c>
      <c r="AS26" s="148" t="str">
        <f>MID(AK26,1,1)</f>
        <v>P</v>
      </c>
      <c r="AT26" s="148" t="str" cm="1">
        <f t="array" ref="AT26">IFERROR(_xlfn.IFS(AL26="W:200 ","W1",AL26="W:400 ","W2",AL26="W:720 ","W3",AL26="W:800 ","W4",AL26="W:1120 ","W5"),"")</f>
        <v>W3</v>
      </c>
      <c r="AU26" s="148" t="str" cm="1">
        <f t="array" ref="AU26">IFERROR(_xlfn.IFS(AM26="D:400 ","D1",AM26="D:600 ","D2",AM26="D:1000 ","D3"),"")</f>
        <v/>
      </c>
      <c r="AV26" s="148" t="s">
        <v>659</v>
      </c>
      <c r="AW26" s="148" t="s">
        <v>660</v>
      </c>
      <c r="AX26" s="159" t="str">
        <f t="shared" si="10"/>
        <v>UF.  de EZC 250 Vertical Extendida Fijo Palanca W:720 -</v>
      </c>
      <c r="BB26" s="262" t="str">
        <f t="shared" si="11"/>
        <v>3EHZ</v>
      </c>
      <c r="BC26" s="262">
        <f>BC25</f>
        <v>3</v>
      </c>
      <c r="BD26" s="262" t="str">
        <f>BD25</f>
        <v>E</v>
      </c>
      <c r="BE26" s="262" t="str">
        <f>BE25</f>
        <v>H</v>
      </c>
      <c r="BF26" s="262" t="str" cm="1">
        <f t="array" ref="BF26">IFERROR(_xlfn.IFS(BL26="400 + 400","X",BL26="720","Y",BL26="1120","Z"),"")</f>
        <v>Z</v>
      </c>
      <c r="BG26" s="266"/>
      <c r="BH26" s="334"/>
      <c r="BI26" s="335"/>
      <c r="BJ26" s="297"/>
      <c r="BK26" s="297"/>
      <c r="BL26" s="197" t="s">
        <v>172</v>
      </c>
      <c r="BM26" s="227" t="s">
        <v>847</v>
      </c>
      <c r="BN26" s="199" t="s">
        <v>564</v>
      </c>
      <c r="BO26" s="226" t="s">
        <v>564</v>
      </c>
      <c r="BP26" s="226" t="s">
        <v>564</v>
      </c>
      <c r="BQ26" s="226" t="s">
        <v>564</v>
      </c>
      <c r="BR26" s="226" t="s">
        <v>564</v>
      </c>
      <c r="BS26" s="226" t="s">
        <v>564</v>
      </c>
      <c r="BT26" s="226" t="s">
        <v>564</v>
      </c>
      <c r="BU26" s="226" t="s">
        <v>564</v>
      </c>
      <c r="BV26" s="226" t="s">
        <v>564</v>
      </c>
      <c r="BW26" s="226" t="s">
        <v>564</v>
      </c>
      <c r="BX26" s="226" t="s">
        <v>564</v>
      </c>
      <c r="BY26" s="226" t="s">
        <v>564</v>
      </c>
      <c r="BZ26" s="226" t="s">
        <v>564</v>
      </c>
      <c r="CB26" s="262" t="str">
        <f t="shared" si="2"/>
        <v>3EVN</v>
      </c>
      <c r="CC26" s="262" t="s">
        <v>875</v>
      </c>
      <c r="CD26" s="262" t="str" cm="1">
        <f t="array" ref="CD26">IFERROR(_xlfn.IFS(CF26="1/4","M",CF26="1/2","N",CF26="3/4","O",CF26="1","P"),"")</f>
        <v>N</v>
      </c>
      <c r="CE26" s="266"/>
      <c r="CF26" s="201" t="s">
        <v>774</v>
      </c>
      <c r="CG26" s="202" t="s">
        <v>848</v>
      </c>
      <c r="CH26" s="203" t="s">
        <v>597</v>
      </c>
      <c r="CI26" s="295" t="s">
        <v>831</v>
      </c>
      <c r="CJ26" s="295" t="s">
        <v>832</v>
      </c>
      <c r="CK26" s="295" t="s">
        <v>833</v>
      </c>
      <c r="CL26" s="295" t="s">
        <v>834</v>
      </c>
      <c r="CM26" s="295" t="s">
        <v>564</v>
      </c>
      <c r="CN26" s="295" t="s">
        <v>564</v>
      </c>
      <c r="CO26" s="295" t="s">
        <v>564</v>
      </c>
      <c r="CP26" s="295" t="s">
        <v>564</v>
      </c>
    </row>
    <row r="27" spans="1:94" ht="20" customHeight="1" outlineLevel="1" x14ac:dyDescent="0.65">
      <c r="A27" s="14">
        <v>22</v>
      </c>
      <c r="B27" s="15" t="str">
        <f t="shared" si="3"/>
        <v>208060Ma</v>
      </c>
      <c r="C27" s="16" t="s">
        <v>21</v>
      </c>
      <c r="D27" s="17" t="s">
        <v>120</v>
      </c>
      <c r="E27" s="18" t="s">
        <v>91</v>
      </c>
      <c r="F27" s="18" t="s">
        <v>121</v>
      </c>
      <c r="G27" s="19" t="str">
        <f t="shared" si="4"/>
        <v>H:</v>
      </c>
      <c r="H27" s="19">
        <v>2000</v>
      </c>
      <c r="I27" s="20" t="str">
        <f t="shared" si="5"/>
        <v>W:</v>
      </c>
      <c r="J27" s="20">
        <v>800</v>
      </c>
      <c r="K27" s="21" t="str">
        <f t="shared" si="6"/>
        <v>D:</v>
      </c>
      <c r="L27" s="21">
        <v>600</v>
      </c>
      <c r="M27" s="22"/>
      <c r="N27" s="23"/>
      <c r="O27" s="24"/>
      <c r="P27" s="25"/>
      <c r="Q27" s="26" t="str">
        <f t="shared" si="7"/>
        <v>Marco  / H:2000W:800D:600 mm</v>
      </c>
      <c r="S27" s="38" t="s">
        <v>122</v>
      </c>
      <c r="T27" s="39" t="s">
        <v>123</v>
      </c>
      <c r="U27" s="29"/>
      <c r="V27" s="120"/>
      <c r="W27" s="30"/>
      <c r="X27" s="30"/>
      <c r="Y27" s="30"/>
      <c r="Z27" s="30"/>
      <c r="AA27" s="40" t="s">
        <v>107</v>
      </c>
      <c r="AD27" s="158" t="str">
        <f t="shared" si="8"/>
        <v>IEZ2HFPW3-</v>
      </c>
      <c r="AE27" s="148" t="s">
        <v>733</v>
      </c>
      <c r="AF27" s="148" t="s">
        <v>697</v>
      </c>
      <c r="AG27" s="148" t="s">
        <v>888</v>
      </c>
      <c r="AH27" s="3" t="s">
        <v>740</v>
      </c>
      <c r="AI27" s="3" t="s">
        <v>699</v>
      </c>
      <c r="AJ27" s="148" t="s">
        <v>735</v>
      </c>
      <c r="AK27" s="148" t="s">
        <v>736</v>
      </c>
      <c r="AL27" s="148" t="s">
        <v>701</v>
      </c>
      <c r="AM27" s="148"/>
      <c r="AN27" s="148" t="s">
        <v>564</v>
      </c>
      <c r="AO27" s="148" t="str">
        <f t="shared" si="9"/>
        <v>I</v>
      </c>
      <c r="AP27" s="3" t="str" cm="1">
        <f t="array" ref="AP27">IFERROR(_xlfn.IFS(AH27="Mini Breaker ","MB",AH27="GoPact ","GP",AH27="EZC 100 ","EZ1",AH27="EZC 250 ","EZ2",AH27="CVS/NSX 250 ","CV2",AH27="CVS/NSX/EZC 630 ","CV6",AH27="NS 1600 ","NS1",AH27="NW/MTZ 4000 ","NW4",AH27="Conmutador PEQ. ","CP",AH27="Conmutador MED. ","CM",AH27="Conmutador GRA. ","CG",AH27="Contactores ","CK"),"")</f>
        <v>EZ2</v>
      </c>
      <c r="AQ27" s="3" t="str" cm="1">
        <f t="array" ref="AQ27">_xlfn.IFS(AI27="Horizontal ","H",AI27="Horizontal COMPUESTA ","HC",AI27="Vertical ","V",AI27="Vertical Compacta ","VC",AI27="Vertical Extendida ","VE")</f>
        <v>H</v>
      </c>
      <c r="AR27" s="148" t="str">
        <f>MID(AJ27,1,1)</f>
        <v>F</v>
      </c>
      <c r="AS27" s="148" t="str">
        <f>MID(AK27,1,1)</f>
        <v>P</v>
      </c>
      <c r="AT27" s="148" t="str" cm="1">
        <f t="array" ref="AT27">IFERROR(_xlfn.IFS(AL27="W:200 ","W1",AL27="W:400 ","W2",AL27="W:720 ","W3",AL27="W:800 ","W4",AL27="W:1120 ","W5"),"")</f>
        <v>W3</v>
      </c>
      <c r="AU27" s="148" t="str" cm="1">
        <f t="array" ref="AU27">IFERROR(_xlfn.IFS(AM27="D:400 ","D1",AM27="D:600 ","D2",AM27="D:1000 ","D3"),"")</f>
        <v/>
      </c>
      <c r="AV27" s="148" t="s">
        <v>661</v>
      </c>
      <c r="AW27" s="148" t="s">
        <v>662</v>
      </c>
      <c r="AX27" s="159" t="str">
        <f t="shared" si="10"/>
        <v>UF.  de EZC 250 Horizontal Fijo Palanca W:720 -</v>
      </c>
      <c r="BB27" s="262" t="str">
        <f t="shared" si="11"/>
        <v>3EH</v>
      </c>
      <c r="BC27" s="262">
        <f t="shared" ref="BC27:BC29" si="22">BC26</f>
        <v>3</v>
      </c>
      <c r="BD27" s="262" t="str">
        <f t="shared" ref="BD27:BD29" si="23">BD26</f>
        <v>E</v>
      </c>
      <c r="BE27" s="262" t="str">
        <f t="shared" ref="BE27:BE29" si="24">BE26</f>
        <v>H</v>
      </c>
      <c r="BF27" s="262" t="str" cm="1">
        <f t="array" ref="BF27">IFERROR(_xlfn.IFS(BL27="400 + 400","X",BL27="720","Y",BL27="1120","Z"),"")</f>
        <v/>
      </c>
      <c r="BG27" s="266"/>
      <c r="BH27" s="334"/>
      <c r="BI27" s="335"/>
      <c r="BJ27" s="297"/>
      <c r="BK27" s="297"/>
      <c r="BL27" s="197" t="s">
        <v>564</v>
      </c>
      <c r="BM27" s="227" t="s">
        <v>564</v>
      </c>
      <c r="BN27" s="199" t="s">
        <v>564</v>
      </c>
      <c r="BO27" s="226" t="s">
        <v>564</v>
      </c>
      <c r="BP27" s="226" t="s">
        <v>564</v>
      </c>
      <c r="BQ27" s="226" t="s">
        <v>564</v>
      </c>
      <c r="BR27" s="226" t="s">
        <v>564</v>
      </c>
      <c r="BS27" s="226" t="s">
        <v>564</v>
      </c>
      <c r="BT27" s="226" t="s">
        <v>564</v>
      </c>
      <c r="BU27" s="226" t="s">
        <v>564</v>
      </c>
      <c r="BV27" s="226" t="s">
        <v>564</v>
      </c>
      <c r="BW27" s="226" t="s">
        <v>564</v>
      </c>
      <c r="BX27" s="226" t="s">
        <v>564</v>
      </c>
      <c r="BY27" s="226" t="s">
        <v>564</v>
      </c>
      <c r="BZ27" s="226" t="s">
        <v>564</v>
      </c>
      <c r="CB27" s="262" t="str">
        <f t="shared" si="2"/>
        <v>3EVO</v>
      </c>
      <c r="CC27" s="262" t="s">
        <v>875</v>
      </c>
      <c r="CD27" s="262" t="str" cm="1">
        <f t="array" ref="CD27">IFERROR(_xlfn.IFS(CF27="1/4","M",CF27="1/2","N",CF27="3/4","O",CF27="1","P"),"")</f>
        <v>O</v>
      </c>
      <c r="CE27" s="266"/>
      <c r="CF27" s="201" t="s">
        <v>780</v>
      </c>
      <c r="CG27" s="202" t="s">
        <v>849</v>
      </c>
      <c r="CH27" s="203" t="s">
        <v>598</v>
      </c>
      <c r="CI27" s="295"/>
      <c r="CJ27" s="295"/>
      <c r="CK27" s="295"/>
      <c r="CL27" s="295"/>
      <c r="CM27" s="295"/>
      <c r="CN27" s="295"/>
      <c r="CO27" s="295"/>
      <c r="CP27" s="295"/>
    </row>
    <row r="28" spans="1:94" ht="20" customHeight="1" outlineLevel="1" x14ac:dyDescent="0.65">
      <c r="A28" s="14">
        <v>23</v>
      </c>
      <c r="B28" s="15" t="str">
        <f t="shared" si="3"/>
        <v>208010Ma</v>
      </c>
      <c r="C28" s="16" t="s">
        <v>21</v>
      </c>
      <c r="D28" s="17" t="s">
        <v>124</v>
      </c>
      <c r="E28" s="18" t="s">
        <v>98</v>
      </c>
      <c r="F28" s="18" t="s">
        <v>121</v>
      </c>
      <c r="G28" s="19" t="str">
        <f t="shared" si="4"/>
        <v>H:</v>
      </c>
      <c r="H28" s="19">
        <v>2000</v>
      </c>
      <c r="I28" s="20" t="str">
        <f t="shared" si="5"/>
        <v>W:</v>
      </c>
      <c r="J28" s="20">
        <v>800</v>
      </c>
      <c r="K28" s="21" t="str">
        <f t="shared" si="6"/>
        <v>D:</v>
      </c>
      <c r="L28" s="21">
        <v>1000</v>
      </c>
      <c r="M28" s="22"/>
      <c r="N28" s="23"/>
      <c r="O28" s="24"/>
      <c r="P28" s="25"/>
      <c r="Q28" s="26" t="str">
        <f t="shared" si="7"/>
        <v>Marco  / H:2000W:800D:1000 mm</v>
      </c>
      <c r="S28" s="38" t="s">
        <v>125</v>
      </c>
      <c r="T28" s="39" t="s">
        <v>126</v>
      </c>
      <c r="U28" s="29"/>
      <c r="V28" s="120"/>
      <c r="W28" s="30"/>
      <c r="X28" s="30"/>
      <c r="Y28" s="30"/>
      <c r="Z28" s="30"/>
      <c r="AA28" s="40" t="s">
        <v>107</v>
      </c>
      <c r="AD28" s="158" t="str">
        <f t="shared" si="8"/>
        <v xml:space="preserve">IEZ2HFPW3DPS </v>
      </c>
      <c r="AE28" s="148" t="s">
        <v>733</v>
      </c>
      <c r="AF28" s="148" t="s">
        <v>697</v>
      </c>
      <c r="AG28" s="148" t="s">
        <v>888</v>
      </c>
      <c r="AH28" s="3" t="s">
        <v>740</v>
      </c>
      <c r="AI28" s="3" t="s">
        <v>699</v>
      </c>
      <c r="AJ28" s="148" t="s">
        <v>735</v>
      </c>
      <c r="AK28" s="148" t="s">
        <v>736</v>
      </c>
      <c r="AL28" s="148" t="s">
        <v>701</v>
      </c>
      <c r="AM28" s="148"/>
      <c r="AN28" s="148" t="s">
        <v>702</v>
      </c>
      <c r="AO28" s="148" t="str">
        <f t="shared" si="9"/>
        <v>I</v>
      </c>
      <c r="AP28" s="3" t="str" cm="1">
        <f t="array" ref="AP28">IFERROR(_xlfn.IFS(AH28="Mini Breaker ","MB",AH28="GoPact ","GP",AH28="EZC 100 ","EZ1",AH28="EZC 250 ","EZ2",AH28="CVS/NSX 250 ","CV2",AH28="CVS/NSX/EZC 630 ","CV6",AH28="NS 1600 ","NS1",AH28="NW/MTZ 4000 ","NW4",AH28="Conmutador PEQ. ","CP",AH28="Conmutador MED. ","CM",AH28="Conmutador GRA. ","CG",AH28="Contactores ","CK"),"")</f>
        <v>EZ2</v>
      </c>
      <c r="AQ28" s="3" t="str" cm="1">
        <f t="array" ref="AQ28">_xlfn.IFS(AI28="Horizontal ","H",AI28="Horizontal COMPUESTA ","HC",AI28="Vertical ","V",AI28="Vertical Compacta ","VC",AI28="Vertical Extendida ","VE")</f>
        <v>H</v>
      </c>
      <c r="AR28" s="148" t="str">
        <f>MID(AJ28,1,1)</f>
        <v>F</v>
      </c>
      <c r="AS28" s="148" t="str">
        <f>MID(AK28,1,1)</f>
        <v>P</v>
      </c>
      <c r="AT28" s="148" t="str" cm="1">
        <f t="array" ref="AT28">IFERROR(_xlfn.IFS(AL28="W:200 ","W1",AL28="W:400 ","W2",AL28="W:720 ","W3",AL28="W:800 ","W4",AL28="W:1120 ","W5"),"")</f>
        <v>W3</v>
      </c>
      <c r="AU28" s="148" t="str" cm="1">
        <f t="array" ref="AU28">IFERROR(_xlfn.IFS(AM28="D:400 ","D1",AM28="D:600 ","D2",AM28="D:1000 ","D3"),"")</f>
        <v/>
      </c>
      <c r="AV28" s="148" t="s">
        <v>663</v>
      </c>
      <c r="AW28" s="148" t="s">
        <v>664</v>
      </c>
      <c r="AX28" s="159" t="str">
        <f t="shared" si="10"/>
        <v xml:space="preserve">UF.  de EZC 250 Horizontal Fijo Palanca W:720 DPS </v>
      </c>
      <c r="BB28" s="262" t="str">
        <f t="shared" si="11"/>
        <v>3EH</v>
      </c>
      <c r="BC28" s="262">
        <f t="shared" si="22"/>
        <v>3</v>
      </c>
      <c r="BD28" s="262" t="str">
        <f t="shared" si="23"/>
        <v>E</v>
      </c>
      <c r="BE28" s="262" t="str">
        <f t="shared" si="24"/>
        <v>H</v>
      </c>
      <c r="BF28" s="262" t="str" cm="1">
        <f t="array" ref="BF28">IFERROR(_xlfn.IFS(BL28="400 + 400","X",BL28="720","Y",BL28="1120","Z"),"")</f>
        <v/>
      </c>
      <c r="BG28" s="266"/>
      <c r="BH28" s="334"/>
      <c r="BI28" s="335"/>
      <c r="BJ28" s="297"/>
      <c r="BK28" s="297"/>
      <c r="BL28" s="197" t="s">
        <v>564</v>
      </c>
      <c r="BM28" s="227" t="s">
        <v>564</v>
      </c>
      <c r="BN28" s="199" t="s">
        <v>564</v>
      </c>
      <c r="BO28" s="226" t="s">
        <v>564</v>
      </c>
      <c r="BP28" s="226" t="s">
        <v>564</v>
      </c>
      <c r="BQ28" s="226" t="s">
        <v>564</v>
      </c>
      <c r="BR28" s="226" t="s">
        <v>564</v>
      </c>
      <c r="BS28" s="226" t="s">
        <v>564</v>
      </c>
      <c r="BT28" s="226" t="s">
        <v>564</v>
      </c>
      <c r="BU28" s="226" t="s">
        <v>564</v>
      </c>
      <c r="BV28" s="226" t="s">
        <v>564</v>
      </c>
      <c r="BW28" s="226" t="s">
        <v>564</v>
      </c>
      <c r="BX28" s="226" t="s">
        <v>564</v>
      </c>
      <c r="BY28" s="226" t="s">
        <v>564</v>
      </c>
      <c r="BZ28" s="226" t="s">
        <v>564</v>
      </c>
      <c r="CB28" s="262" t="str">
        <f t="shared" si="2"/>
        <v>3EVP</v>
      </c>
      <c r="CC28" s="262" t="s">
        <v>875</v>
      </c>
      <c r="CD28" s="262" t="str" cm="1">
        <f t="array" ref="CD28">IFERROR(_xlfn.IFS(CF28="1/4","M",CF28="1/2","N",CF28="3/4","O",CF28="1","P"),"")</f>
        <v>P</v>
      </c>
      <c r="CE28" s="266"/>
      <c r="CF28" s="201" t="s">
        <v>604</v>
      </c>
      <c r="CG28" s="202" t="s">
        <v>850</v>
      </c>
      <c r="CH28" s="203" t="s">
        <v>599</v>
      </c>
      <c r="CI28" s="204" t="s">
        <v>564</v>
      </c>
      <c r="CJ28" s="204" t="s">
        <v>564</v>
      </c>
      <c r="CK28" s="204" t="s">
        <v>564</v>
      </c>
      <c r="CL28" s="204" t="s">
        <v>564</v>
      </c>
      <c r="CM28" s="204" t="s">
        <v>837</v>
      </c>
      <c r="CN28" s="204" t="s">
        <v>837</v>
      </c>
      <c r="CO28" s="204" t="s">
        <v>838</v>
      </c>
      <c r="CP28" s="204" t="s">
        <v>839</v>
      </c>
    </row>
    <row r="29" spans="1:94" ht="20" customHeight="1" outlineLevel="1" x14ac:dyDescent="0.65">
      <c r="A29" s="14">
        <v>24</v>
      </c>
      <c r="B29" s="15" t="str">
        <f t="shared" si="3"/>
        <v>201140Ma</v>
      </c>
      <c r="C29" s="16" t="s">
        <v>21</v>
      </c>
      <c r="D29" s="17" t="s">
        <v>127</v>
      </c>
      <c r="E29" s="18" t="s">
        <v>86</v>
      </c>
      <c r="F29" s="18" t="s">
        <v>71</v>
      </c>
      <c r="G29" s="19" t="str">
        <f t="shared" si="4"/>
        <v>H:</v>
      </c>
      <c r="H29" s="19">
        <v>2000</v>
      </c>
      <c r="I29" s="20" t="str">
        <f t="shared" si="5"/>
        <v>W:</v>
      </c>
      <c r="J29" s="20">
        <v>1120</v>
      </c>
      <c r="K29" s="21" t="str">
        <f t="shared" si="6"/>
        <v>D:</v>
      </c>
      <c r="L29" s="21">
        <v>400</v>
      </c>
      <c r="M29" s="22"/>
      <c r="N29" s="23"/>
      <c r="O29" s="24"/>
      <c r="P29" s="25"/>
      <c r="Q29" s="26" t="str">
        <f t="shared" si="7"/>
        <v>Marco  / H:2000W:1120D:400 mm</v>
      </c>
      <c r="S29" s="38" t="s">
        <v>128</v>
      </c>
      <c r="T29" s="39" t="s">
        <v>129</v>
      </c>
      <c r="U29" s="29"/>
      <c r="V29" s="120"/>
      <c r="W29" s="30"/>
      <c r="X29" s="30"/>
      <c r="Y29" s="30"/>
      <c r="Z29" s="30"/>
      <c r="AA29" s="40" t="s">
        <v>107</v>
      </c>
      <c r="AD29" s="158" t="str">
        <f t="shared" si="8"/>
        <v>ICV6VFPW3-</v>
      </c>
      <c r="AE29" s="148" t="s">
        <v>733</v>
      </c>
      <c r="AF29" s="148" t="s">
        <v>697</v>
      </c>
      <c r="AG29" s="148" t="s">
        <v>888</v>
      </c>
      <c r="AH29" s="3" t="s">
        <v>741</v>
      </c>
      <c r="AI29" s="3" t="s">
        <v>522</v>
      </c>
      <c r="AJ29" s="148" t="s">
        <v>735</v>
      </c>
      <c r="AK29" s="148" t="s">
        <v>736</v>
      </c>
      <c r="AL29" s="148" t="s">
        <v>701</v>
      </c>
      <c r="AM29" s="148"/>
      <c r="AN29" s="148" t="s">
        <v>564</v>
      </c>
      <c r="AO29" s="148" t="str">
        <f t="shared" si="9"/>
        <v>I</v>
      </c>
      <c r="AP29" s="3" t="str" cm="1">
        <f t="array" ref="AP29">IFERROR(_xlfn.IFS(AH29="Mini Breaker ","MB",AH29="GoPact ","GP",AH29="EZC 100 ","EZ1",AH29="EZC 250 ","EZ2",AH29="CVS/NSX 250 ","CV2",AH29="CVS/NSX/EZC 630 ","CV6",AH29="NS 1600 ","NS1",AH29="NW/MTZ 4000 ","NW4",AH29="Conmutador PEQ. ","CP",AH29="Conmutador MED. ","CM",AH29="Conmutador GRA. ","CG",AH29="Contactores ","CK"),"")</f>
        <v>CV6</v>
      </c>
      <c r="AQ29" s="3" t="str" cm="1">
        <f t="array" ref="AQ29">_xlfn.IFS(AI29="Horizontal ","H",AI29="Horizontal COMPUESTA ","HC",AI29="Vertical ","V",AI29="Vertical Compacta ","VC",AI29="Vertical Extendida ","VE")</f>
        <v>V</v>
      </c>
      <c r="AR29" s="148" t="str">
        <f>MID(AJ29,1,1)</f>
        <v>F</v>
      </c>
      <c r="AS29" s="148" t="str">
        <f>MID(AK29,1,1)</f>
        <v>P</v>
      </c>
      <c r="AT29" s="148" t="str" cm="1">
        <f t="array" ref="AT29">IFERROR(_xlfn.IFS(AL29="W:200 ","W1",AL29="W:400 ","W2",AL29="W:720 ","W3",AL29="W:800 ","W4",AL29="W:1120 ","W5"),"")</f>
        <v>W3</v>
      </c>
      <c r="AU29" s="148" t="str" cm="1">
        <f t="array" ref="AU29">IFERROR(_xlfn.IFS(AM29="D:400 ","D1",AM29="D:600 ","D2",AM29="D:1000 ","D3"),"")</f>
        <v/>
      </c>
      <c r="AV29" s="148" t="s">
        <v>665</v>
      </c>
      <c r="AW29" s="148" t="s">
        <v>666</v>
      </c>
      <c r="AX29" s="159" t="str">
        <f t="shared" si="10"/>
        <v>UF.  de CVS/NSX/EZC 630 Vertical Fijo Palanca W:720 -</v>
      </c>
      <c r="BB29" s="262" t="str">
        <f t="shared" si="11"/>
        <v>3EH</v>
      </c>
      <c r="BC29" s="262">
        <f t="shared" si="22"/>
        <v>3</v>
      </c>
      <c r="BD29" s="262" t="str">
        <f t="shared" si="23"/>
        <v>E</v>
      </c>
      <c r="BE29" s="262" t="str">
        <f t="shared" si="24"/>
        <v>H</v>
      </c>
      <c r="BF29" s="262" t="str" cm="1">
        <f t="array" ref="BF29">IFERROR(_xlfn.IFS(BL29="400 + 400","X",BL29="720","Y",BL29="1120","Z"),"")</f>
        <v/>
      </c>
      <c r="BG29" s="266"/>
      <c r="BH29" s="334"/>
      <c r="BI29" s="335"/>
      <c r="BJ29" s="297"/>
      <c r="BK29" s="297"/>
      <c r="BL29" s="197"/>
      <c r="BM29" s="227"/>
      <c r="BN29" s="199" t="s">
        <v>600</v>
      </c>
      <c r="BO29" s="226" t="s">
        <v>564</v>
      </c>
      <c r="BP29" s="226" t="s">
        <v>564</v>
      </c>
      <c r="BQ29" s="226" t="s">
        <v>564</v>
      </c>
      <c r="BR29" s="226" t="s">
        <v>564</v>
      </c>
      <c r="BS29" s="226" t="s">
        <v>840</v>
      </c>
      <c r="BT29" s="226" t="s">
        <v>841</v>
      </c>
      <c r="BU29" s="226" t="s">
        <v>842</v>
      </c>
      <c r="BV29" s="226" t="s">
        <v>843</v>
      </c>
      <c r="BW29" s="226" t="s">
        <v>844</v>
      </c>
      <c r="BX29" s="226" t="s">
        <v>851</v>
      </c>
      <c r="BY29" s="226" t="s">
        <v>564</v>
      </c>
      <c r="BZ29" s="226" t="s">
        <v>564</v>
      </c>
      <c r="CB29" s="262" t="str">
        <f t="shared" si="2"/>
        <v>3EV</v>
      </c>
      <c r="CC29" s="262" t="s">
        <v>875</v>
      </c>
      <c r="CD29" s="262" t="str" cm="1">
        <f t="array" ref="CD29">IFERROR(_xlfn.IFS(CF29="1/4","M",CF29="1/2","N",CF29="3/4","O",CF29="1","P"),"")</f>
        <v/>
      </c>
      <c r="CE29" s="266"/>
      <c r="CF29" s="201" t="s">
        <v>564</v>
      </c>
      <c r="CG29" s="231" t="s">
        <v>564</v>
      </c>
      <c r="CH29" s="232" t="s">
        <v>564</v>
      </c>
      <c r="CI29" s="233" t="s">
        <v>564</v>
      </c>
      <c r="CJ29" s="233" t="s">
        <v>564</v>
      </c>
      <c r="CK29" s="233" t="s">
        <v>564</v>
      </c>
      <c r="CL29" s="233" t="s">
        <v>564</v>
      </c>
      <c r="CM29" s="233" t="s">
        <v>564</v>
      </c>
      <c r="CN29" s="233" t="s">
        <v>564</v>
      </c>
      <c r="CO29" s="233" t="s">
        <v>564</v>
      </c>
      <c r="CP29" s="233" t="s">
        <v>564</v>
      </c>
    </row>
    <row r="30" spans="1:94" ht="20" customHeight="1" outlineLevel="1" x14ac:dyDescent="0.65">
      <c r="A30" s="14">
        <v>25</v>
      </c>
      <c r="B30" s="15" t="str">
        <f t="shared" si="3"/>
        <v>201160Ma</v>
      </c>
      <c r="C30" s="16" t="s">
        <v>21</v>
      </c>
      <c r="D30" s="17" t="s">
        <v>130</v>
      </c>
      <c r="E30" s="18" t="s">
        <v>91</v>
      </c>
      <c r="F30" s="18" t="s">
        <v>71</v>
      </c>
      <c r="G30" s="19" t="str">
        <f t="shared" si="4"/>
        <v>H:</v>
      </c>
      <c r="H30" s="19">
        <v>2000</v>
      </c>
      <c r="I30" s="20" t="str">
        <f t="shared" si="5"/>
        <v>W:</v>
      </c>
      <c r="J30" s="20">
        <v>1120</v>
      </c>
      <c r="K30" s="21" t="str">
        <f t="shared" si="6"/>
        <v>D:</v>
      </c>
      <c r="L30" s="21">
        <v>600</v>
      </c>
      <c r="M30" s="22"/>
      <c r="N30" s="23"/>
      <c r="O30" s="24"/>
      <c r="P30" s="25"/>
      <c r="Q30" s="26" t="str">
        <f t="shared" si="7"/>
        <v>Marco  / H:2000W:1120D:600 mm</v>
      </c>
      <c r="S30" s="38" t="s">
        <v>131</v>
      </c>
      <c r="T30" s="39" t="s">
        <v>132</v>
      </c>
      <c r="U30" s="29"/>
      <c r="V30" s="120"/>
      <c r="W30" s="30"/>
      <c r="X30" s="30"/>
      <c r="Y30" s="30"/>
      <c r="Z30" s="30"/>
      <c r="AA30" s="40" t="s">
        <v>107</v>
      </c>
      <c r="AD30" s="158" t="str">
        <f t="shared" si="8"/>
        <v>ICV6VFMW3-</v>
      </c>
      <c r="AE30" s="148" t="s">
        <v>733</v>
      </c>
      <c r="AF30" s="148" t="s">
        <v>697</v>
      </c>
      <c r="AG30" s="148" t="s">
        <v>888</v>
      </c>
      <c r="AH30" s="3" t="s">
        <v>741</v>
      </c>
      <c r="AI30" s="3" t="s">
        <v>522</v>
      </c>
      <c r="AJ30" s="148" t="s">
        <v>735</v>
      </c>
      <c r="AK30" s="148" t="s">
        <v>738</v>
      </c>
      <c r="AL30" s="148" t="s">
        <v>701</v>
      </c>
      <c r="AM30" s="148"/>
      <c r="AN30" s="148" t="s">
        <v>564</v>
      </c>
      <c r="AO30" s="148" t="str">
        <f t="shared" si="9"/>
        <v>I</v>
      </c>
      <c r="AP30" s="3" t="str" cm="1">
        <f t="array" ref="AP30">IFERROR(_xlfn.IFS(AH30="Mini Breaker ","MB",AH30="GoPact ","GP",AH30="EZC 100 ","EZ1",AH30="EZC 250 ","EZ2",AH30="CVS/NSX 250 ","CV2",AH30="CVS/NSX/EZC 630 ","CV6",AH30="NS 1600 ","NS1",AH30="NW/MTZ 4000 ","NW4",AH30="Conmutador PEQ. ","CP",AH30="Conmutador MED. ","CM",AH30="Conmutador GRA. ","CG",AH30="Contactores ","CK"),"")</f>
        <v>CV6</v>
      </c>
      <c r="AQ30" s="3" t="str" cm="1">
        <f t="array" ref="AQ30">_xlfn.IFS(AI30="Horizontal ","H",AI30="Horizontal COMPUESTA ","HC",AI30="Vertical ","V",AI30="Vertical Compacta ","VC",AI30="Vertical Extendida ","VE")</f>
        <v>V</v>
      </c>
      <c r="AR30" s="148" t="str">
        <f>MID(AJ30,1,1)</f>
        <v>F</v>
      </c>
      <c r="AS30" s="148" t="str">
        <f>MID(AK30,1,1)</f>
        <v>M</v>
      </c>
      <c r="AT30" s="148" t="str" cm="1">
        <f t="array" ref="AT30">IFERROR(_xlfn.IFS(AL30="W:200 ","W1",AL30="W:400 ","W2",AL30="W:720 ","W3",AL30="W:800 ","W4",AL30="W:1120 ","W5"),"")</f>
        <v>W3</v>
      </c>
      <c r="AU30" s="148" t="str" cm="1">
        <f t="array" ref="AU30">IFERROR(_xlfn.IFS(AM30="D:400 ","D1",AM30="D:600 ","D2",AM30="D:1000 ","D3"),"")</f>
        <v/>
      </c>
      <c r="AV30" s="148" t="s">
        <v>667</v>
      </c>
      <c r="AW30" s="148" t="s">
        <v>666</v>
      </c>
      <c r="AX30" s="159" t="str">
        <f t="shared" si="10"/>
        <v>UF.  de CVS/NSX/EZC 630 Vertical Fijo Motorizado W:720 -</v>
      </c>
      <c r="BB30" s="261" t="str">
        <f t="shared" si="11"/>
        <v>3FHY</v>
      </c>
      <c r="BC30" s="261" cm="1">
        <f t="array" ref="BC30">_xlfn.IFS(BJ30="10 - 25",1,BJ30="10 - 40",2,BJ30="10 - 65",3,BJ30="10 - 85",4)</f>
        <v>3</v>
      </c>
      <c r="BD30" s="261" t="str" cm="1">
        <f t="array" ref="BD30">_xlfn.IFS(BK30="630","A",BK30="1250","B",BK30="1600","C",BK30="2000","D",BK30="2500","E",BK30="3200","F",BK30="4000","G",BK30="5000","H",BK30="6300","I",BK30="7000","J")</f>
        <v>F</v>
      </c>
      <c r="BE30" s="261" t="s">
        <v>1</v>
      </c>
      <c r="BF30" s="261" t="str" cm="1">
        <f t="array" ref="BF30">IFERROR(_xlfn.IFS(BL30="400 + 400","X",BL30="720","Y",BL30="1120","Z"),"")</f>
        <v>Y</v>
      </c>
      <c r="BG30" s="266"/>
      <c r="BH30" s="334"/>
      <c r="BI30" s="335"/>
      <c r="BJ30" s="296" t="s">
        <v>609</v>
      </c>
      <c r="BK30" s="296" t="s">
        <v>613</v>
      </c>
      <c r="BL30" s="222" t="s">
        <v>170</v>
      </c>
      <c r="BM30" s="223" t="s">
        <v>852</v>
      </c>
      <c r="BN30" s="203" t="s">
        <v>600</v>
      </c>
      <c r="BO30" s="204" t="s">
        <v>564</v>
      </c>
      <c r="BP30" s="204" t="s">
        <v>564</v>
      </c>
      <c r="BQ30" s="204" t="s">
        <v>564</v>
      </c>
      <c r="BR30" s="204" t="s">
        <v>564</v>
      </c>
      <c r="BS30" s="204" t="s">
        <v>853</v>
      </c>
      <c r="BT30" s="204" t="s">
        <v>854</v>
      </c>
      <c r="BU30" s="204" t="s">
        <v>855</v>
      </c>
      <c r="BV30" s="204" t="s">
        <v>856</v>
      </c>
      <c r="BW30" s="204" t="s">
        <v>857</v>
      </c>
      <c r="BX30" s="204" t="s">
        <v>858</v>
      </c>
      <c r="BY30" s="204" t="s">
        <v>859</v>
      </c>
      <c r="BZ30" s="204" t="s">
        <v>564</v>
      </c>
      <c r="CB30" s="261" t="str">
        <f t="shared" si="2"/>
        <v>3FV</v>
      </c>
      <c r="CC30" s="261" t="s">
        <v>875</v>
      </c>
      <c r="CD30" s="261" t="str" cm="1">
        <f t="array" ref="CD30">IFERROR(_xlfn.IFS(CF30="1/4","M",CF30="1/2","N",CF30="3/4","O",CF30="1","P"),"")</f>
        <v/>
      </c>
      <c r="CE30" s="266"/>
      <c r="CF30" s="224" t="s">
        <v>564</v>
      </c>
      <c r="CG30" s="228" t="s">
        <v>564</v>
      </c>
      <c r="CH30" s="229" t="s">
        <v>564</v>
      </c>
      <c r="CI30" s="230" t="s">
        <v>564</v>
      </c>
      <c r="CJ30" s="230" t="s">
        <v>564</v>
      </c>
      <c r="CK30" s="230" t="s">
        <v>564</v>
      </c>
      <c r="CL30" s="230" t="s">
        <v>564</v>
      </c>
      <c r="CM30" s="230" t="s">
        <v>564</v>
      </c>
      <c r="CN30" s="230" t="s">
        <v>564</v>
      </c>
      <c r="CO30" s="230" t="s">
        <v>564</v>
      </c>
      <c r="CP30" s="230" t="s">
        <v>564</v>
      </c>
    </row>
    <row r="31" spans="1:94" ht="20" customHeight="1" outlineLevel="1" x14ac:dyDescent="0.65">
      <c r="A31" s="14">
        <v>26</v>
      </c>
      <c r="B31" s="15" t="str">
        <f t="shared" si="3"/>
        <v>201110Ma</v>
      </c>
      <c r="C31" s="16" t="s">
        <v>21</v>
      </c>
      <c r="D31" s="17" t="s">
        <v>133</v>
      </c>
      <c r="E31" s="18" t="s">
        <v>98</v>
      </c>
      <c r="F31" s="18" t="s">
        <v>71</v>
      </c>
      <c r="G31" s="19" t="str">
        <f t="shared" si="4"/>
        <v>H:</v>
      </c>
      <c r="H31" s="19">
        <v>2000</v>
      </c>
      <c r="I31" s="20" t="str">
        <f t="shared" si="5"/>
        <v>W:</v>
      </c>
      <c r="J31" s="20">
        <v>1120</v>
      </c>
      <c r="K31" s="21" t="str">
        <f t="shared" si="6"/>
        <v>D:</v>
      </c>
      <c r="L31" s="21">
        <v>1000</v>
      </c>
      <c r="M31" s="22"/>
      <c r="N31" s="23"/>
      <c r="O31" s="24"/>
      <c r="P31" s="25"/>
      <c r="Q31" s="26" t="str">
        <f t="shared" si="7"/>
        <v>Marco  / H:2000W:1120D:1000 mm</v>
      </c>
      <c r="T31" s="33" t="s">
        <v>103</v>
      </c>
      <c r="AD31" s="158" t="str">
        <f t="shared" si="8"/>
        <v>ICV6VFPW2-</v>
      </c>
      <c r="AE31" s="148" t="s">
        <v>733</v>
      </c>
      <c r="AF31" s="148" t="s">
        <v>697</v>
      </c>
      <c r="AG31" s="148" t="s">
        <v>888</v>
      </c>
      <c r="AH31" s="3" t="s">
        <v>741</v>
      </c>
      <c r="AI31" s="3" t="s">
        <v>522</v>
      </c>
      <c r="AJ31" s="148" t="s">
        <v>735</v>
      </c>
      <c r="AK31" s="148" t="s">
        <v>736</v>
      </c>
      <c r="AL31" s="148" t="s">
        <v>700</v>
      </c>
      <c r="AM31" s="148"/>
      <c r="AN31" s="148" t="s">
        <v>564</v>
      </c>
      <c r="AO31" s="148" t="str">
        <f t="shared" si="9"/>
        <v>I</v>
      </c>
      <c r="AP31" s="3" t="str" cm="1">
        <f t="array" ref="AP31">IFERROR(_xlfn.IFS(AH31="Mini Breaker ","MB",AH31="GoPact ","GP",AH31="EZC 100 ","EZ1",AH31="EZC 250 ","EZ2",AH31="CVS/NSX 250 ","CV2",AH31="CVS/NSX/EZC 630 ","CV6",AH31="NS 1600 ","NS1",AH31="NW/MTZ 4000 ","NW4",AH31="Conmutador PEQ. ","CP",AH31="Conmutador MED. ","CM",AH31="Conmutador GRA. ","CG",AH31="Contactores ","CK"),"")</f>
        <v>CV6</v>
      </c>
      <c r="AQ31" s="3" t="str" cm="1">
        <f t="array" ref="AQ31">_xlfn.IFS(AI31="Horizontal ","H",AI31="Horizontal COMPUESTA ","HC",AI31="Vertical ","V",AI31="Vertical Compacta ","VC",AI31="Vertical Extendida ","VE")</f>
        <v>V</v>
      </c>
      <c r="AR31" s="148" t="str">
        <f>MID(AJ31,1,1)</f>
        <v>F</v>
      </c>
      <c r="AS31" s="148" t="str">
        <f>MID(AK31,1,1)</f>
        <v>P</v>
      </c>
      <c r="AT31" s="148" t="str" cm="1">
        <f t="array" ref="AT31">IFERROR(_xlfn.IFS(AL31="W:200 ","W1",AL31="W:400 ","W2",AL31="W:720 ","W3",AL31="W:800 ","W4",AL31="W:1120 ","W5"),"")</f>
        <v>W2</v>
      </c>
      <c r="AU31" s="148" t="str" cm="1">
        <f t="array" ref="AU31">IFERROR(_xlfn.IFS(AM31="D:400 ","D1",AM31="D:600 ","D2",AM31="D:1000 ","D3"),"")</f>
        <v/>
      </c>
      <c r="AV31" s="148" t="s">
        <v>668</v>
      </c>
      <c r="AW31" s="148" t="s">
        <v>669</v>
      </c>
      <c r="AX31" s="159" t="str">
        <f t="shared" si="10"/>
        <v>UF.  de CVS/NSX/EZC 630 Vertical Fijo Palanca W:400 -</v>
      </c>
      <c r="BB31" s="261" t="str">
        <f t="shared" si="11"/>
        <v>3FHZ</v>
      </c>
      <c r="BC31" s="261">
        <f>BC30</f>
        <v>3</v>
      </c>
      <c r="BD31" s="261" t="str">
        <f>BD30</f>
        <v>F</v>
      </c>
      <c r="BE31" s="261" t="str">
        <f>BE30</f>
        <v>H</v>
      </c>
      <c r="BF31" s="261" t="str" cm="1">
        <f t="array" ref="BF31">IFERROR(_xlfn.IFS(BL31="400 + 400","X",BL31="720","Y",BL31="1120","Z"),"")</f>
        <v>Z</v>
      </c>
      <c r="BG31" s="266"/>
      <c r="BH31" s="334"/>
      <c r="BI31" s="335"/>
      <c r="BJ31" s="296"/>
      <c r="BK31" s="296"/>
      <c r="BL31" s="222" t="s">
        <v>172</v>
      </c>
      <c r="BM31" s="223" t="s">
        <v>860</v>
      </c>
      <c r="BN31" s="203" t="s">
        <v>564</v>
      </c>
      <c r="BO31" s="204" t="s">
        <v>564</v>
      </c>
      <c r="BP31" s="204" t="s">
        <v>564</v>
      </c>
      <c r="BQ31" s="204" t="s">
        <v>564</v>
      </c>
      <c r="BR31" s="204" t="s">
        <v>564</v>
      </c>
      <c r="BS31" s="204" t="s">
        <v>564</v>
      </c>
      <c r="BT31" s="204" t="s">
        <v>564</v>
      </c>
      <c r="BU31" s="204" t="s">
        <v>564</v>
      </c>
      <c r="BV31" s="204" t="s">
        <v>564</v>
      </c>
      <c r="BW31" s="204" t="s">
        <v>564</v>
      </c>
      <c r="BX31" s="204" t="s">
        <v>564</v>
      </c>
      <c r="BY31" s="204" t="s">
        <v>564</v>
      </c>
      <c r="BZ31" s="204" t="s">
        <v>564</v>
      </c>
      <c r="CB31" s="261" t="str">
        <f t="shared" si="2"/>
        <v>3FV</v>
      </c>
      <c r="CC31" s="261" t="s">
        <v>875</v>
      </c>
      <c r="CD31" s="261" t="str" cm="1">
        <f t="array" ref="CD31">IFERROR(_xlfn.IFS(CF31="1/4","M",CF31="1/2","N",CF31="3/4","O",CF31="1","P"),"")</f>
        <v/>
      </c>
      <c r="CE31" s="266"/>
      <c r="CF31" s="224" t="s">
        <v>564</v>
      </c>
      <c r="CG31" s="228" t="s">
        <v>564</v>
      </c>
      <c r="CH31" s="229" t="s">
        <v>564</v>
      </c>
      <c r="CI31" s="230" t="s">
        <v>564</v>
      </c>
      <c r="CJ31" s="230" t="s">
        <v>564</v>
      </c>
      <c r="CK31" s="230" t="s">
        <v>564</v>
      </c>
      <c r="CL31" s="230" t="s">
        <v>564</v>
      </c>
      <c r="CM31" s="230" t="s">
        <v>564</v>
      </c>
      <c r="CN31" s="230" t="s">
        <v>564</v>
      </c>
      <c r="CO31" s="230" t="s">
        <v>564</v>
      </c>
      <c r="CP31" s="230" t="s">
        <v>564</v>
      </c>
    </row>
    <row r="32" spans="1:94" ht="20" customHeight="1" outlineLevel="1" x14ac:dyDescent="0.65">
      <c r="A32" s="14">
        <v>27</v>
      </c>
      <c r="B32" s="15" t="str">
        <f t="shared" si="3"/>
        <v>222040Ma</v>
      </c>
      <c r="C32" s="16" t="s">
        <v>21</v>
      </c>
      <c r="D32" s="17" t="s">
        <v>134</v>
      </c>
      <c r="E32" s="18" t="s">
        <v>135</v>
      </c>
      <c r="F32" s="18" t="s">
        <v>24</v>
      </c>
      <c r="G32" s="19" t="str">
        <f t="shared" si="4"/>
        <v>H:</v>
      </c>
      <c r="H32" s="19">
        <v>2200</v>
      </c>
      <c r="I32" s="20" t="str">
        <f t="shared" si="5"/>
        <v>W:</v>
      </c>
      <c r="J32" s="20">
        <v>200</v>
      </c>
      <c r="K32" s="21" t="str">
        <f t="shared" si="6"/>
        <v>D:</v>
      </c>
      <c r="L32" s="21">
        <v>400</v>
      </c>
      <c r="M32" s="22"/>
      <c r="N32" s="23"/>
      <c r="O32" s="24"/>
      <c r="P32" s="25"/>
      <c r="Q32" s="26" t="str">
        <f t="shared" si="7"/>
        <v>Marco  / H:2200W:200D:400 mm</v>
      </c>
      <c r="S32" s="41" t="s">
        <v>136</v>
      </c>
      <c r="T32" s="42" t="s">
        <v>129</v>
      </c>
      <c r="U32" s="29"/>
      <c r="V32" s="120"/>
      <c r="W32" s="30"/>
      <c r="X32" s="30"/>
      <c r="Y32" s="30"/>
      <c r="Z32" s="31" t="str">
        <f t="shared" ref="Z32" si="25">V32&amp;U32&amp;MID(W32,1,1)&amp;MID(X32,1,1)&amp;MID(Y32,1,3)</f>
        <v/>
      </c>
      <c r="AA32" s="43">
        <f>VLOOKUP(Z32,$B$6:$D$470,3,FALSE)</f>
        <v>0</v>
      </c>
      <c r="AD32" s="158" t="str">
        <f t="shared" si="8"/>
        <v>ICV6VFMW2-</v>
      </c>
      <c r="AE32" s="148" t="s">
        <v>733</v>
      </c>
      <c r="AF32" s="148" t="s">
        <v>697</v>
      </c>
      <c r="AG32" s="148" t="s">
        <v>888</v>
      </c>
      <c r="AH32" s="3" t="s">
        <v>741</v>
      </c>
      <c r="AI32" s="3" t="s">
        <v>522</v>
      </c>
      <c r="AJ32" s="148" t="s">
        <v>735</v>
      </c>
      <c r="AK32" s="148" t="s">
        <v>738</v>
      </c>
      <c r="AL32" s="148" t="s">
        <v>700</v>
      </c>
      <c r="AM32" s="148"/>
      <c r="AN32" s="148" t="s">
        <v>564</v>
      </c>
      <c r="AO32" s="148" t="str">
        <f t="shared" si="9"/>
        <v>I</v>
      </c>
      <c r="AP32" s="3" t="str" cm="1">
        <f t="array" ref="AP32">IFERROR(_xlfn.IFS(AH32="Mini Breaker ","MB",AH32="GoPact ","GP",AH32="EZC 100 ","EZ1",AH32="EZC 250 ","EZ2",AH32="CVS/NSX 250 ","CV2",AH32="CVS/NSX/EZC 630 ","CV6",AH32="NS 1600 ","NS1",AH32="NW/MTZ 4000 ","NW4",AH32="Conmutador PEQ. ","CP",AH32="Conmutador MED. ","CM",AH32="Conmutador GRA. ","CG",AH32="Contactores ","CK"),"")</f>
        <v>CV6</v>
      </c>
      <c r="AQ32" s="3" t="str" cm="1">
        <f t="array" ref="AQ32">_xlfn.IFS(AI32="Horizontal ","H",AI32="Horizontal COMPUESTA ","HC",AI32="Vertical ","V",AI32="Vertical Compacta ","VC",AI32="Vertical Extendida ","VE")</f>
        <v>V</v>
      </c>
      <c r="AR32" s="148" t="str">
        <f>MID(AJ32,1,1)</f>
        <v>F</v>
      </c>
      <c r="AS32" s="148" t="str">
        <f>MID(AK32,1,1)</f>
        <v>M</v>
      </c>
      <c r="AT32" s="148" t="str" cm="1">
        <f t="array" ref="AT32">IFERROR(_xlfn.IFS(AL32="W:200 ","W1",AL32="W:400 ","W2",AL32="W:720 ","W3",AL32="W:800 ","W4",AL32="W:1120 ","W5"),"")</f>
        <v>W2</v>
      </c>
      <c r="AU32" s="148" t="str" cm="1">
        <f t="array" ref="AU32">IFERROR(_xlfn.IFS(AM32="D:400 ","D1",AM32="D:600 ","D2",AM32="D:1000 ","D3"),"")</f>
        <v/>
      </c>
      <c r="AV32" s="148" t="s">
        <v>670</v>
      </c>
      <c r="AW32" s="148" t="s">
        <v>669</v>
      </c>
      <c r="AX32" s="159" t="str">
        <f t="shared" si="10"/>
        <v>UF.  de CVS/NSX/EZC 630 Vertical Fijo Motorizado W:400 -</v>
      </c>
      <c r="BB32" s="262" t="str">
        <f t="shared" si="11"/>
        <v>3GHY</v>
      </c>
      <c r="BC32" s="262" cm="1">
        <f t="array" ref="BC32">_xlfn.IFS(BJ32="10 - 25",1,BJ32="10 - 40",2,BJ32="10 - 65",3,BJ32="10 - 85",4)</f>
        <v>3</v>
      </c>
      <c r="BD32" s="262" t="str" cm="1">
        <f t="array" ref="BD32">_xlfn.IFS(BK32="630","A",BK32="1250","B",BK32="1600","C",BK32="2000","D",BK32="2500","E",BK32="3200","F",BK32="4000","G",BK32="5000","H",BK32="6300","I",BK32="7000","J")</f>
        <v>G</v>
      </c>
      <c r="BE32" s="262" t="s">
        <v>1</v>
      </c>
      <c r="BF32" s="262" t="str" cm="1">
        <f t="array" ref="BF32">IFERROR(_xlfn.IFS(BL32="400 + 400","X",BL32="720","Y",BL32="1120","Z"),"")</f>
        <v>Y</v>
      </c>
      <c r="BG32" s="266"/>
      <c r="BH32" s="334"/>
      <c r="BI32" s="335"/>
      <c r="BJ32" s="297" t="s">
        <v>609</v>
      </c>
      <c r="BK32" s="297" t="s">
        <v>861</v>
      </c>
      <c r="BL32" s="197" t="s">
        <v>170</v>
      </c>
      <c r="BM32" s="227" t="s">
        <v>862</v>
      </c>
      <c r="BN32" s="199" t="s">
        <v>600</v>
      </c>
      <c r="BO32" s="226" t="s">
        <v>564</v>
      </c>
      <c r="BP32" s="226" t="s">
        <v>564</v>
      </c>
      <c r="BQ32" s="226" t="s">
        <v>564</v>
      </c>
      <c r="BR32" s="226" t="s">
        <v>564</v>
      </c>
      <c r="BS32" s="226" t="s">
        <v>853</v>
      </c>
      <c r="BT32" s="226" t="s">
        <v>854</v>
      </c>
      <c r="BU32" s="226" t="s">
        <v>855</v>
      </c>
      <c r="BV32" s="226" t="s">
        <v>856</v>
      </c>
      <c r="BW32" s="226" t="s">
        <v>857</v>
      </c>
      <c r="BX32" s="226" t="s">
        <v>858</v>
      </c>
      <c r="BY32" s="226" t="s">
        <v>859</v>
      </c>
      <c r="BZ32" s="226" t="s">
        <v>863</v>
      </c>
      <c r="CB32" s="262" t="str">
        <f t="shared" si="2"/>
        <v>3GV</v>
      </c>
      <c r="CC32" s="262" t="s">
        <v>875</v>
      </c>
      <c r="CD32" s="262" t="str" cm="1">
        <f t="array" ref="CD32">IFERROR(_xlfn.IFS(CF32="1/4","M",CF32="1/2","N",CF32="3/4","O",CF32="1","P"),"")</f>
        <v/>
      </c>
      <c r="CE32" s="266"/>
      <c r="CF32" s="201" t="s">
        <v>564</v>
      </c>
      <c r="CG32" s="231" t="s">
        <v>564</v>
      </c>
      <c r="CH32" s="232" t="s">
        <v>564</v>
      </c>
      <c r="CI32" s="233" t="s">
        <v>564</v>
      </c>
      <c r="CJ32" s="233" t="s">
        <v>564</v>
      </c>
      <c r="CK32" s="233" t="s">
        <v>564</v>
      </c>
      <c r="CL32" s="233" t="s">
        <v>564</v>
      </c>
      <c r="CM32" s="233" t="s">
        <v>564</v>
      </c>
      <c r="CN32" s="233" t="s">
        <v>564</v>
      </c>
      <c r="CO32" s="233" t="s">
        <v>564</v>
      </c>
      <c r="CP32" s="233" t="s">
        <v>564</v>
      </c>
    </row>
    <row r="33" spans="1:94" ht="20" customHeight="1" outlineLevel="1" thickBot="1" x14ac:dyDescent="0.7">
      <c r="A33" s="14">
        <v>28</v>
      </c>
      <c r="B33" s="15" t="str">
        <f t="shared" si="3"/>
        <v>222060Ma</v>
      </c>
      <c r="C33" s="16" t="s">
        <v>21</v>
      </c>
      <c r="D33" s="17" t="s">
        <v>137</v>
      </c>
      <c r="E33" s="18" t="s">
        <v>138</v>
      </c>
      <c r="F33" s="18" t="s">
        <v>24</v>
      </c>
      <c r="G33" s="19" t="str">
        <f t="shared" si="4"/>
        <v>H:</v>
      </c>
      <c r="H33" s="19">
        <v>2200</v>
      </c>
      <c r="I33" s="20" t="str">
        <f t="shared" si="5"/>
        <v>W:</v>
      </c>
      <c r="J33" s="20">
        <v>200</v>
      </c>
      <c r="K33" s="21" t="str">
        <f t="shared" si="6"/>
        <v>D:</v>
      </c>
      <c r="L33" s="21">
        <v>600</v>
      </c>
      <c r="M33" s="22"/>
      <c r="N33" s="23"/>
      <c r="O33" s="24"/>
      <c r="P33" s="25"/>
      <c r="Q33" s="26" t="str">
        <f t="shared" si="7"/>
        <v>Marco  / H:2200W:200D:600 mm</v>
      </c>
      <c r="S33" s="41" t="s">
        <v>139</v>
      </c>
      <c r="T33" s="42" t="s">
        <v>140</v>
      </c>
      <c r="U33" s="29"/>
      <c r="V33" s="120"/>
      <c r="W33" s="30"/>
      <c r="X33" s="30"/>
      <c r="Y33" s="30"/>
      <c r="Z33" s="30"/>
      <c r="AA33" s="44" t="s">
        <v>107</v>
      </c>
      <c r="AD33" s="158" t="str">
        <f t="shared" si="8"/>
        <v>ICV6HFPW3-</v>
      </c>
      <c r="AE33" s="148" t="s">
        <v>733</v>
      </c>
      <c r="AF33" s="148" t="s">
        <v>697</v>
      </c>
      <c r="AG33" s="148" t="s">
        <v>888</v>
      </c>
      <c r="AH33" s="3" t="s">
        <v>741</v>
      </c>
      <c r="AI33" s="3" t="s">
        <v>699</v>
      </c>
      <c r="AJ33" s="148" t="s">
        <v>735</v>
      </c>
      <c r="AK33" s="148" t="s">
        <v>736</v>
      </c>
      <c r="AL33" s="148" t="s">
        <v>701</v>
      </c>
      <c r="AM33" s="148"/>
      <c r="AN33" s="148" t="s">
        <v>564</v>
      </c>
      <c r="AO33" s="148" t="str">
        <f t="shared" si="9"/>
        <v>I</v>
      </c>
      <c r="AP33" s="3" t="str" cm="1">
        <f t="array" ref="AP33">IFERROR(_xlfn.IFS(AH33="Mini Breaker ","MB",AH33="GoPact ","GP",AH33="EZC 100 ","EZ1",AH33="EZC 250 ","EZ2",AH33="CVS/NSX 250 ","CV2",AH33="CVS/NSX/EZC 630 ","CV6",AH33="NS 1600 ","NS1",AH33="NW/MTZ 4000 ","NW4",AH33="Conmutador PEQ. ","CP",AH33="Conmutador MED. ","CM",AH33="Conmutador GRA. ","CG",AH33="Contactores ","CK"),"")</f>
        <v>CV6</v>
      </c>
      <c r="AQ33" s="3" t="str" cm="1">
        <f t="array" ref="AQ33">_xlfn.IFS(AI33="Horizontal ","H",AI33="Horizontal COMPUESTA ","HC",AI33="Vertical ","V",AI33="Vertical Compacta ","VC",AI33="Vertical Extendida ","VE")</f>
        <v>H</v>
      </c>
      <c r="AR33" s="148" t="str">
        <f>MID(AJ33,1,1)</f>
        <v>F</v>
      </c>
      <c r="AS33" s="148" t="str">
        <f>MID(AK33,1,1)</f>
        <v>P</v>
      </c>
      <c r="AT33" s="148" t="str" cm="1">
        <f t="array" ref="AT33">IFERROR(_xlfn.IFS(AL33="W:200 ","W1",AL33="W:400 ","W2",AL33="W:720 ","W3",AL33="W:800 ","W4",AL33="W:1120 ","W5"),"")</f>
        <v>W3</v>
      </c>
      <c r="AU33" s="148" t="str" cm="1">
        <f t="array" ref="AU33">IFERROR(_xlfn.IFS(AM33="D:400 ","D1",AM33="D:600 ","D2",AM33="D:1000 ","D3"),"")</f>
        <v/>
      </c>
      <c r="AV33" s="148" t="s">
        <v>671</v>
      </c>
      <c r="AW33" s="148" t="s">
        <v>672</v>
      </c>
      <c r="AX33" s="159" t="str">
        <f t="shared" si="10"/>
        <v>UF.  de CVS/NSX/EZC 630 Horizontal Fijo Palanca W:720 -</v>
      </c>
      <c r="BB33" s="263" t="str">
        <f t="shared" si="11"/>
        <v>3GHZ</v>
      </c>
      <c r="BC33" s="263">
        <f>BC32</f>
        <v>3</v>
      </c>
      <c r="BD33" s="263" t="str">
        <f>BD32</f>
        <v>G</v>
      </c>
      <c r="BE33" s="263" t="str">
        <f>BE32</f>
        <v>H</v>
      </c>
      <c r="BF33" s="263" t="str" cm="1">
        <f t="array" ref="BF33">IFERROR(_xlfn.IFS(BL33="400 + 400","X",BL33="720","Y",BL33="1120","Z"),"")</f>
        <v>Z</v>
      </c>
      <c r="BG33" s="266"/>
      <c r="BH33" s="334"/>
      <c r="BI33" s="335"/>
      <c r="BJ33" s="298"/>
      <c r="BK33" s="298"/>
      <c r="BL33" s="234" t="s">
        <v>172</v>
      </c>
      <c r="BM33" s="235" t="s">
        <v>864</v>
      </c>
      <c r="BN33" s="236" t="s">
        <v>564</v>
      </c>
      <c r="BO33" s="237" t="s">
        <v>564</v>
      </c>
      <c r="BP33" s="237" t="s">
        <v>564</v>
      </c>
      <c r="BQ33" s="237" t="s">
        <v>564</v>
      </c>
      <c r="BR33" s="237" t="s">
        <v>564</v>
      </c>
      <c r="BS33" s="237" t="s">
        <v>564</v>
      </c>
      <c r="BT33" s="237" t="s">
        <v>564</v>
      </c>
      <c r="BU33" s="237" t="s">
        <v>564</v>
      </c>
      <c r="BV33" s="237" t="s">
        <v>564</v>
      </c>
      <c r="BW33" s="237" t="s">
        <v>564</v>
      </c>
      <c r="BX33" s="237" t="s">
        <v>564</v>
      </c>
      <c r="BY33" s="237" t="s">
        <v>564</v>
      </c>
      <c r="BZ33" s="237" t="s">
        <v>564</v>
      </c>
      <c r="CB33" s="263" t="str">
        <f t="shared" si="2"/>
        <v>3GV</v>
      </c>
      <c r="CC33" s="263" t="s">
        <v>875</v>
      </c>
      <c r="CD33" s="263" t="str" cm="1">
        <f t="array" ref="CD33">IFERROR(_xlfn.IFS(CF33="1/4","M",CF33="1/2","N",CF33="3/4","O",CF33="1","P"),"")</f>
        <v/>
      </c>
      <c r="CE33" s="266"/>
      <c r="CF33" s="238" t="s">
        <v>564</v>
      </c>
      <c r="CG33" s="239" t="s">
        <v>564</v>
      </c>
      <c r="CH33" s="240" t="s">
        <v>564</v>
      </c>
      <c r="CI33" s="241" t="s">
        <v>564</v>
      </c>
      <c r="CJ33" s="241" t="s">
        <v>564</v>
      </c>
      <c r="CK33" s="241" t="s">
        <v>564</v>
      </c>
      <c r="CL33" s="241" t="s">
        <v>564</v>
      </c>
      <c r="CM33" s="241" t="s">
        <v>564</v>
      </c>
      <c r="CN33" s="241" t="s">
        <v>564</v>
      </c>
      <c r="CO33" s="241" t="s">
        <v>564</v>
      </c>
      <c r="CP33" s="241" t="s">
        <v>564</v>
      </c>
    </row>
    <row r="34" spans="1:94" ht="20" customHeight="1" outlineLevel="1" x14ac:dyDescent="0.65">
      <c r="A34" s="14">
        <v>29</v>
      </c>
      <c r="B34" s="15" t="str">
        <f t="shared" si="3"/>
        <v>222010Ma</v>
      </c>
      <c r="C34" s="16" t="s">
        <v>21</v>
      </c>
      <c r="D34" s="17" t="s">
        <v>141</v>
      </c>
      <c r="E34" s="18" t="s">
        <v>142</v>
      </c>
      <c r="F34" s="18" t="s">
        <v>24</v>
      </c>
      <c r="G34" s="19" t="str">
        <f t="shared" si="4"/>
        <v>H:</v>
      </c>
      <c r="H34" s="19">
        <v>2200</v>
      </c>
      <c r="I34" s="20" t="str">
        <f t="shared" si="5"/>
        <v>W:</v>
      </c>
      <c r="J34" s="20">
        <v>200</v>
      </c>
      <c r="K34" s="21" t="str">
        <f t="shared" si="6"/>
        <v>D:</v>
      </c>
      <c r="L34" s="21">
        <v>1000</v>
      </c>
      <c r="M34" s="22"/>
      <c r="N34" s="23"/>
      <c r="O34" s="24"/>
      <c r="P34" s="25"/>
      <c r="Q34" s="26" t="str">
        <f t="shared" si="7"/>
        <v>Marco  / H:2200W:200D:1000 mm</v>
      </c>
      <c r="S34" s="41" t="s">
        <v>143</v>
      </c>
      <c r="T34" s="42" t="s">
        <v>144</v>
      </c>
      <c r="U34" s="29"/>
      <c r="V34" s="120"/>
      <c r="W34" s="30"/>
      <c r="X34" s="30"/>
      <c r="Y34" s="30"/>
      <c r="Z34" s="30"/>
      <c r="AA34" s="44" t="s">
        <v>107</v>
      </c>
      <c r="AD34" s="158" t="str">
        <f t="shared" si="8"/>
        <v>ICV6HFMW3-</v>
      </c>
      <c r="AE34" s="148" t="s">
        <v>733</v>
      </c>
      <c r="AF34" s="148" t="s">
        <v>697</v>
      </c>
      <c r="AG34" s="148" t="s">
        <v>888</v>
      </c>
      <c r="AH34" s="3" t="s">
        <v>741</v>
      </c>
      <c r="AI34" s="3" t="s">
        <v>699</v>
      </c>
      <c r="AJ34" s="148" t="s">
        <v>735</v>
      </c>
      <c r="AK34" s="148" t="s">
        <v>738</v>
      </c>
      <c r="AL34" s="148" t="s">
        <v>701</v>
      </c>
      <c r="AM34" s="148"/>
      <c r="AN34" s="148" t="s">
        <v>564</v>
      </c>
      <c r="AO34" s="148" t="str">
        <f t="shared" si="9"/>
        <v>I</v>
      </c>
      <c r="AP34" s="3" t="str" cm="1">
        <f t="array" ref="AP34">IFERROR(_xlfn.IFS(AH34="Mini Breaker ","MB",AH34="GoPact ","GP",AH34="EZC 100 ","EZ1",AH34="EZC 250 ","EZ2",AH34="CVS/NSX 250 ","CV2",AH34="CVS/NSX/EZC 630 ","CV6",AH34="NS 1600 ","NS1",AH34="NW/MTZ 4000 ","NW4",AH34="Conmutador PEQ. ","CP",AH34="Conmutador MED. ","CM",AH34="Conmutador GRA. ","CG",AH34="Contactores ","CK"),"")</f>
        <v>CV6</v>
      </c>
      <c r="AQ34" s="3" t="str" cm="1">
        <f t="array" ref="AQ34">_xlfn.IFS(AI34="Horizontal ","H",AI34="Horizontal COMPUESTA ","HC",AI34="Vertical ","V",AI34="Vertical Compacta ","VC",AI34="Vertical Extendida ","VE")</f>
        <v>H</v>
      </c>
      <c r="AR34" s="148" t="str">
        <f>MID(AJ34,1,1)</f>
        <v>F</v>
      </c>
      <c r="AS34" s="148" t="str">
        <f>MID(AK34,1,1)</f>
        <v>M</v>
      </c>
      <c r="AT34" s="148" t="str" cm="1">
        <f t="array" ref="AT34">IFERROR(_xlfn.IFS(AL34="W:200 ","W1",AL34="W:400 ","W2",AL34="W:720 ","W3",AL34="W:800 ","W4",AL34="W:1120 ","W5"),"")</f>
        <v>W3</v>
      </c>
      <c r="AU34" s="148" t="str" cm="1">
        <f t="array" ref="AU34">IFERROR(_xlfn.IFS(AM34="D:400 ","D1",AM34="D:600 ","D2",AM34="D:1000 ","D3"),"")</f>
        <v/>
      </c>
      <c r="AV34" s="148" t="s">
        <v>673</v>
      </c>
      <c r="AW34" s="148" t="s">
        <v>672</v>
      </c>
      <c r="AX34" s="159" t="str">
        <f t="shared" si="10"/>
        <v>UF.  de CVS/NSX/EZC 630 Horizontal Fijo Motorizado W:720 -</v>
      </c>
      <c r="BB34" s="281" t="str">
        <f t="shared" si="11"/>
        <v>4HHY</v>
      </c>
      <c r="BC34" s="264" cm="1">
        <f t="array" ref="BC34">_xlfn.IFS(BJ34="10 - 25",1,BJ34="10 - 40",2,BJ34="10 - 65",3,BJ34="10 - 85",4)</f>
        <v>4</v>
      </c>
      <c r="BD34" s="264" t="str" cm="1">
        <f t="array" ref="BD34">_xlfn.IFS(BK34="630","A",BK34="1250","B",BK34="1600","C",BK34="2000","D",BK34="2500","E",BK34="3200","F",BK34="4000","G",BK34="5000","H",BK34="6300","I",BK34="7000","J")</f>
        <v>H</v>
      </c>
      <c r="BE34" s="264" t="s">
        <v>1</v>
      </c>
      <c r="BF34" s="282" t="str" cm="1">
        <f t="array" ref="BF34">IFERROR(_xlfn.IFS(BL34="400 + 400","X",BL34="720","Y",BL34="1120","Z"),"")</f>
        <v>Y</v>
      </c>
      <c r="BG34" s="266"/>
      <c r="BH34" s="316" t="s">
        <v>865</v>
      </c>
      <c r="BI34" s="317"/>
      <c r="BJ34" s="322" t="s">
        <v>614</v>
      </c>
      <c r="BK34" s="324" t="s">
        <v>866</v>
      </c>
      <c r="BL34" s="242" t="s">
        <v>170</v>
      </c>
      <c r="BM34" s="243" t="s">
        <v>867</v>
      </c>
      <c r="BN34" s="244" t="s">
        <v>600</v>
      </c>
      <c r="BO34" s="245" t="s">
        <v>564</v>
      </c>
      <c r="BP34" s="245" t="s">
        <v>564</v>
      </c>
      <c r="BQ34" s="245" t="s">
        <v>564</v>
      </c>
      <c r="BR34" s="245" t="s">
        <v>564</v>
      </c>
      <c r="BS34" s="245" t="s">
        <v>564</v>
      </c>
      <c r="BT34" s="245" t="s">
        <v>564</v>
      </c>
      <c r="BU34" s="245" t="s">
        <v>564</v>
      </c>
      <c r="BV34" s="245" t="s">
        <v>564</v>
      </c>
      <c r="BW34" s="245" t="s">
        <v>564</v>
      </c>
      <c r="BX34" s="245" t="s">
        <v>564</v>
      </c>
      <c r="BY34" s="245" t="s">
        <v>564</v>
      </c>
      <c r="BZ34" s="293" t="s">
        <v>564</v>
      </c>
      <c r="CB34" s="281" t="str">
        <f t="shared" si="2"/>
        <v>4HV</v>
      </c>
      <c r="CC34" s="264" t="s">
        <v>875</v>
      </c>
      <c r="CD34" s="282" t="str" cm="1">
        <f t="array" ref="CD34">IFERROR(_xlfn.IFS(CF34="1/4","M",CF34="1/2","N",CF34="3/4","O",CF34="1","P"),"")</f>
        <v/>
      </c>
      <c r="CE34" s="266"/>
      <c r="CF34" s="289" t="s">
        <v>564</v>
      </c>
      <c r="CG34" s="246" t="s">
        <v>564</v>
      </c>
      <c r="CH34" s="247" t="s">
        <v>564</v>
      </c>
      <c r="CI34" s="248" t="s">
        <v>564</v>
      </c>
      <c r="CJ34" s="248" t="s">
        <v>564</v>
      </c>
      <c r="CK34" s="248" t="s">
        <v>564</v>
      </c>
      <c r="CL34" s="248" t="s">
        <v>564</v>
      </c>
      <c r="CM34" s="248" t="s">
        <v>564</v>
      </c>
      <c r="CN34" s="248" t="s">
        <v>564</v>
      </c>
      <c r="CO34" s="248" t="s">
        <v>564</v>
      </c>
      <c r="CP34" s="249" t="s">
        <v>564</v>
      </c>
    </row>
    <row r="35" spans="1:94" ht="20" customHeight="1" outlineLevel="1" x14ac:dyDescent="0.65">
      <c r="A35" s="14">
        <v>30</v>
      </c>
      <c r="B35" s="15" t="str">
        <f t="shared" si="3"/>
        <v>224040Ma</v>
      </c>
      <c r="C35" s="16" t="s">
        <v>21</v>
      </c>
      <c r="D35" s="17" t="s">
        <v>145</v>
      </c>
      <c r="E35" s="18" t="s">
        <v>135</v>
      </c>
      <c r="F35" s="18" t="s">
        <v>41</v>
      </c>
      <c r="G35" s="19" t="str">
        <f t="shared" si="4"/>
        <v>H:</v>
      </c>
      <c r="H35" s="19">
        <v>2200</v>
      </c>
      <c r="I35" s="20" t="str">
        <f t="shared" si="5"/>
        <v>W:</v>
      </c>
      <c r="J35" s="20">
        <v>400</v>
      </c>
      <c r="K35" s="21" t="str">
        <f t="shared" si="6"/>
        <v>D:</v>
      </c>
      <c r="L35" s="21">
        <v>400</v>
      </c>
      <c r="M35" s="22"/>
      <c r="N35" s="23"/>
      <c r="O35" s="24"/>
      <c r="P35" s="25"/>
      <c r="Q35" s="26" t="str">
        <f t="shared" si="7"/>
        <v>Marco  / H:2200W:400D:400 mm</v>
      </c>
      <c r="S35" s="41" t="s">
        <v>146</v>
      </c>
      <c r="T35" s="42" t="s">
        <v>132</v>
      </c>
      <c r="U35" s="29"/>
      <c r="V35" s="120"/>
      <c r="W35" s="30"/>
      <c r="X35" s="30"/>
      <c r="Y35" s="30"/>
      <c r="Z35" s="30"/>
      <c r="AA35" s="44" t="s">
        <v>107</v>
      </c>
      <c r="AD35" s="158" t="str">
        <f t="shared" si="8"/>
        <v>ICV6HFPW3PM</v>
      </c>
      <c r="AE35" s="148" t="s">
        <v>733</v>
      </c>
      <c r="AF35" s="148" t="s">
        <v>697</v>
      </c>
      <c r="AG35" s="148" t="s">
        <v>888</v>
      </c>
      <c r="AH35" s="3" t="s">
        <v>741</v>
      </c>
      <c r="AI35" s="3" t="s">
        <v>699</v>
      </c>
      <c r="AJ35" s="148" t="s">
        <v>735</v>
      </c>
      <c r="AK35" s="148" t="s">
        <v>736</v>
      </c>
      <c r="AL35" s="148" t="s">
        <v>701</v>
      </c>
      <c r="AM35" s="148"/>
      <c r="AN35" s="148" t="s">
        <v>616</v>
      </c>
      <c r="AO35" s="148" t="str">
        <f t="shared" si="9"/>
        <v>I</v>
      </c>
      <c r="AP35" s="3" t="str" cm="1">
        <f t="array" ref="AP35">IFERROR(_xlfn.IFS(AH35="Mini Breaker ","MB",AH35="GoPact ","GP",AH35="EZC 100 ","EZ1",AH35="EZC 250 ","EZ2",AH35="CVS/NSX 250 ","CV2",AH35="CVS/NSX/EZC 630 ","CV6",AH35="NS 1600 ","NS1",AH35="NW/MTZ 4000 ","NW4",AH35="Conmutador PEQ. ","CP",AH35="Conmutador MED. ","CM",AH35="Conmutador GRA. ","CG",AH35="Contactores ","CK"),"")</f>
        <v>CV6</v>
      </c>
      <c r="AQ35" s="3" t="str" cm="1">
        <f t="array" ref="AQ35">_xlfn.IFS(AI35="Horizontal ","H",AI35="Horizontal COMPUESTA ","HC",AI35="Vertical ","V",AI35="Vertical Compacta ","VC",AI35="Vertical Extendida ","VE")</f>
        <v>H</v>
      </c>
      <c r="AR35" s="148" t="str">
        <f>MID(AJ35,1,1)</f>
        <v>F</v>
      </c>
      <c r="AS35" s="148" t="str">
        <f>MID(AK35,1,1)</f>
        <v>P</v>
      </c>
      <c r="AT35" s="148" t="str" cm="1">
        <f t="array" ref="AT35">IFERROR(_xlfn.IFS(AL35="W:200 ","W1",AL35="W:400 ","W2",AL35="W:720 ","W3",AL35="W:800 ","W4",AL35="W:1120 ","W5"),"")</f>
        <v>W3</v>
      </c>
      <c r="AU35" s="148" t="str" cm="1">
        <f t="array" ref="AU35">IFERROR(_xlfn.IFS(AM35="D:400 ","D1",AM35="D:600 ","D2",AM35="D:1000 ","D3"),"")</f>
        <v/>
      </c>
      <c r="AV35" s="148" t="s">
        <v>674</v>
      </c>
      <c r="AW35" s="148" t="s">
        <v>672</v>
      </c>
      <c r="AX35" s="159" t="str">
        <f t="shared" si="10"/>
        <v>UF.  de CVS/NSX/EZC 630 Horizontal Fijo Palanca W:720 PM</v>
      </c>
      <c r="BB35" s="283" t="str">
        <f t="shared" si="11"/>
        <v>4HHZ</v>
      </c>
      <c r="BC35" s="261">
        <f>BC34</f>
        <v>4</v>
      </c>
      <c r="BD35" s="261" t="str">
        <f>BD34</f>
        <v>H</v>
      </c>
      <c r="BE35" s="261" t="str">
        <f>BE34</f>
        <v>H</v>
      </c>
      <c r="BF35" s="284" t="str" cm="1">
        <f t="array" ref="BF35">IFERROR(_xlfn.IFS(BL35="400 + 400","X",BL35="720","Y",BL35="1120","Z"),"")</f>
        <v>Z</v>
      </c>
      <c r="BG35" s="266"/>
      <c r="BH35" s="318"/>
      <c r="BI35" s="319"/>
      <c r="BJ35" s="323"/>
      <c r="BK35" s="296"/>
      <c r="BL35" s="222" t="s">
        <v>172</v>
      </c>
      <c r="BM35" s="223" t="s">
        <v>868</v>
      </c>
      <c r="BN35" s="203" t="s">
        <v>564</v>
      </c>
      <c r="BO35" s="233" t="s">
        <v>564</v>
      </c>
      <c r="BP35" s="233" t="s">
        <v>564</v>
      </c>
      <c r="BQ35" s="233" t="s">
        <v>564</v>
      </c>
      <c r="BR35" s="233" t="s">
        <v>564</v>
      </c>
      <c r="BS35" s="233" t="s">
        <v>564</v>
      </c>
      <c r="BT35" s="233" t="s">
        <v>564</v>
      </c>
      <c r="BU35" s="233" t="s">
        <v>564</v>
      </c>
      <c r="BV35" s="233" t="s">
        <v>564</v>
      </c>
      <c r="BW35" s="233" t="s">
        <v>564</v>
      </c>
      <c r="BX35" s="233" t="s">
        <v>564</v>
      </c>
      <c r="BY35" s="233" t="s">
        <v>564</v>
      </c>
      <c r="BZ35" s="251" t="s">
        <v>564</v>
      </c>
      <c r="CB35" s="283" t="str">
        <f t="shared" si="2"/>
        <v>4HV</v>
      </c>
      <c r="CC35" s="261" t="s">
        <v>875</v>
      </c>
      <c r="CD35" s="284" t="str" cm="1">
        <f t="array" ref="CD35">IFERROR(_xlfn.IFS(CF35="1/4","M",CF35="1/2","N",CF35="3/4","O",CF35="1","P"),"")</f>
        <v/>
      </c>
      <c r="CE35" s="266"/>
      <c r="CF35" s="290" t="s">
        <v>564</v>
      </c>
      <c r="CG35" s="228" t="s">
        <v>564</v>
      </c>
      <c r="CH35" s="229" t="s">
        <v>564</v>
      </c>
      <c r="CI35" s="230" t="s">
        <v>564</v>
      </c>
      <c r="CJ35" s="230" t="s">
        <v>564</v>
      </c>
      <c r="CK35" s="230" t="s">
        <v>564</v>
      </c>
      <c r="CL35" s="230" t="s">
        <v>564</v>
      </c>
      <c r="CM35" s="230" t="s">
        <v>564</v>
      </c>
      <c r="CN35" s="230" t="s">
        <v>564</v>
      </c>
      <c r="CO35" s="230" t="s">
        <v>564</v>
      </c>
      <c r="CP35" s="250" t="s">
        <v>564</v>
      </c>
    </row>
    <row r="36" spans="1:94" ht="20" customHeight="1" outlineLevel="1" x14ac:dyDescent="0.65">
      <c r="A36" s="14">
        <v>31</v>
      </c>
      <c r="B36" s="15" t="str">
        <f t="shared" si="3"/>
        <v>224060Ma</v>
      </c>
      <c r="C36" s="16" t="s">
        <v>21</v>
      </c>
      <c r="D36" s="17" t="s">
        <v>147</v>
      </c>
      <c r="E36" s="18" t="s">
        <v>138</v>
      </c>
      <c r="F36" s="18" t="s">
        <v>41</v>
      </c>
      <c r="G36" s="19" t="str">
        <f t="shared" si="4"/>
        <v>H:</v>
      </c>
      <c r="H36" s="19">
        <v>2200</v>
      </c>
      <c r="I36" s="20" t="str">
        <f t="shared" si="5"/>
        <v>W:</v>
      </c>
      <c r="J36" s="20">
        <v>400</v>
      </c>
      <c r="K36" s="21" t="str">
        <f t="shared" si="6"/>
        <v>D:</v>
      </c>
      <c r="L36" s="21">
        <v>600</v>
      </c>
      <c r="M36" s="22"/>
      <c r="N36" s="23"/>
      <c r="O36" s="24"/>
      <c r="P36" s="25"/>
      <c r="Q36" s="26" t="str">
        <f t="shared" si="7"/>
        <v>Marco  / H:2200W:400D:600 mm</v>
      </c>
      <c r="S36" s="41" t="s">
        <v>148</v>
      </c>
      <c r="T36" s="42" t="s">
        <v>149</v>
      </c>
      <c r="U36" s="29" t="s">
        <v>150</v>
      </c>
      <c r="V36" s="120"/>
      <c r="W36" s="30" t="s">
        <v>151</v>
      </c>
      <c r="X36" s="30"/>
      <c r="Y36" s="30"/>
      <c r="Z36" s="31" t="str">
        <f t="shared" ref="Z36" si="26">V36&amp;U36&amp;MID(W36,1,1)&amp;MID(X36,1,1)&amp;MID(Y36,1,3)</f>
        <v>PlMG</v>
      </c>
      <c r="AA36" s="43" t="str">
        <f>VLOOKUP(Z36,$B$6:$D$470,3,FALSE)</f>
        <v>013202</v>
      </c>
      <c r="AD36" s="158" t="str">
        <f t="shared" si="8"/>
        <v>INS1VFPW3-</v>
      </c>
      <c r="AE36" s="148" t="s">
        <v>733</v>
      </c>
      <c r="AF36" s="148" t="s">
        <v>697</v>
      </c>
      <c r="AG36" s="148" t="s">
        <v>888</v>
      </c>
      <c r="AH36" s="3" t="s">
        <v>742</v>
      </c>
      <c r="AI36" s="3" t="s">
        <v>522</v>
      </c>
      <c r="AJ36" s="148" t="s">
        <v>735</v>
      </c>
      <c r="AK36" s="148" t="s">
        <v>736</v>
      </c>
      <c r="AL36" s="148" t="s">
        <v>701</v>
      </c>
      <c r="AM36" s="148"/>
      <c r="AN36" s="148" t="s">
        <v>564</v>
      </c>
      <c r="AO36" s="148" t="str">
        <f t="shared" si="9"/>
        <v>I</v>
      </c>
      <c r="AP36" s="3" t="str" cm="1">
        <f t="array" ref="AP36">IFERROR(_xlfn.IFS(AH36="Mini Breaker ","MB",AH36="GoPact ","GP",AH36="EZC 100 ","EZ1",AH36="EZC 250 ","EZ2",AH36="CVS/NSX 250 ","CV2",AH36="CVS/NSX/EZC 630 ","CV6",AH36="NS 1600 ","NS1",AH36="NW/MTZ 4000 ","NW4",AH36="Conmutador PEQ. ","CP",AH36="Conmutador MED. ","CM",AH36="Conmutador GRA. ","CG",AH36="Contactores ","CK"),"")</f>
        <v>NS1</v>
      </c>
      <c r="AQ36" s="3" t="str" cm="1">
        <f t="array" ref="AQ36">_xlfn.IFS(AI36="Horizontal ","H",AI36="Horizontal COMPUESTA ","HC",AI36="Vertical ","V",AI36="Vertical Compacta ","VC",AI36="Vertical Extendida ","VE")</f>
        <v>V</v>
      </c>
      <c r="AR36" s="148" t="str">
        <f>MID(AJ36,1,1)</f>
        <v>F</v>
      </c>
      <c r="AS36" s="148" t="str">
        <f>MID(AK36,1,1)</f>
        <v>P</v>
      </c>
      <c r="AT36" s="148" t="str" cm="1">
        <f t="array" ref="AT36">IFERROR(_xlfn.IFS(AL36="W:200 ","W1",AL36="W:400 ","W2",AL36="W:720 ","W3",AL36="W:800 ","W4",AL36="W:1120 ","W5"),"")</f>
        <v>W3</v>
      </c>
      <c r="AU36" s="148" t="str" cm="1">
        <f t="array" ref="AU36">IFERROR(_xlfn.IFS(AM36="D:400 ","D1",AM36="D:600 ","D2",AM36="D:1000 ","D3"),"")</f>
        <v/>
      </c>
      <c r="AV36" s="148" t="s">
        <v>675</v>
      </c>
      <c r="AW36" s="148" t="s">
        <v>676</v>
      </c>
      <c r="AX36" s="159" t="str">
        <f t="shared" si="10"/>
        <v>UF.  de NS 1600 Vertical Fijo Palanca W:720 -</v>
      </c>
      <c r="BB36" s="285" t="str">
        <f t="shared" si="11"/>
        <v>4IHY</v>
      </c>
      <c r="BC36" s="262" cm="1">
        <f t="array" ref="BC36">_xlfn.IFS(BJ36="10 - 25",1,BJ36="10 - 40",2,BJ36="10 - 65",3,BJ36="10 - 85",4)</f>
        <v>4</v>
      </c>
      <c r="BD36" s="262" t="str" cm="1">
        <f t="array" ref="BD36">_xlfn.IFS(BK36="630","A",BK36="1250","B",BK36="1600","C",BK36="2000","D",BK36="2500","E",BK36="3200","F",BK36="4000","G",BK36="5000","H",BK36="6300","I",BK36="7000","J")</f>
        <v>I</v>
      </c>
      <c r="BE36" s="262" t="s">
        <v>1</v>
      </c>
      <c r="BF36" s="286" t="str" cm="1">
        <f t="array" ref="BF36">IFERROR(_xlfn.IFS(BL36="400 + 400","X",BL36="720","Y",BL36="1120","Z"),"")</f>
        <v>Y</v>
      </c>
      <c r="BG36" s="266"/>
      <c r="BH36" s="318"/>
      <c r="BI36" s="319"/>
      <c r="BJ36" s="325" t="s">
        <v>614</v>
      </c>
      <c r="BK36" s="297" t="s">
        <v>869</v>
      </c>
      <c r="BL36" s="197" t="s">
        <v>170</v>
      </c>
      <c r="BM36" s="227" t="s">
        <v>870</v>
      </c>
      <c r="BN36" s="199" t="s">
        <v>600</v>
      </c>
      <c r="BO36" s="230" t="s">
        <v>564</v>
      </c>
      <c r="BP36" s="230" t="s">
        <v>564</v>
      </c>
      <c r="BQ36" s="230" t="s">
        <v>564</v>
      </c>
      <c r="BR36" s="230" t="s">
        <v>564</v>
      </c>
      <c r="BS36" s="230" t="s">
        <v>564</v>
      </c>
      <c r="BT36" s="230" t="s">
        <v>564</v>
      </c>
      <c r="BU36" s="230" t="s">
        <v>564</v>
      </c>
      <c r="BV36" s="230" t="s">
        <v>564</v>
      </c>
      <c r="BW36" s="230" t="s">
        <v>564</v>
      </c>
      <c r="BX36" s="230" t="s">
        <v>564</v>
      </c>
      <c r="BY36" s="230" t="s">
        <v>564</v>
      </c>
      <c r="BZ36" s="250" t="s">
        <v>564</v>
      </c>
      <c r="CB36" s="285" t="str">
        <f t="shared" si="2"/>
        <v>4IV</v>
      </c>
      <c r="CC36" s="262" t="s">
        <v>875</v>
      </c>
      <c r="CD36" s="286" t="str" cm="1">
        <f t="array" ref="CD36">IFERROR(_xlfn.IFS(CF36="1/4","M",CF36="1/2","N",CF36="3/4","O",CF36="1","P"),"")</f>
        <v/>
      </c>
      <c r="CE36" s="266"/>
      <c r="CF36" s="291" t="s">
        <v>564</v>
      </c>
      <c r="CG36" s="231" t="s">
        <v>564</v>
      </c>
      <c r="CH36" s="232" t="s">
        <v>564</v>
      </c>
      <c r="CI36" s="233" t="s">
        <v>564</v>
      </c>
      <c r="CJ36" s="233" t="s">
        <v>564</v>
      </c>
      <c r="CK36" s="233" t="s">
        <v>564</v>
      </c>
      <c r="CL36" s="233" t="s">
        <v>564</v>
      </c>
      <c r="CM36" s="233" t="s">
        <v>564</v>
      </c>
      <c r="CN36" s="233" t="s">
        <v>564</v>
      </c>
      <c r="CO36" s="233" t="s">
        <v>564</v>
      </c>
      <c r="CP36" s="251" t="s">
        <v>564</v>
      </c>
    </row>
    <row r="37" spans="1:94" ht="20" customHeight="1" outlineLevel="1" x14ac:dyDescent="0.65">
      <c r="A37" s="14">
        <v>32</v>
      </c>
      <c r="B37" s="15" t="str">
        <f t="shared" si="3"/>
        <v>224010Ma</v>
      </c>
      <c r="C37" s="16" t="s">
        <v>21</v>
      </c>
      <c r="D37" s="17" t="s">
        <v>152</v>
      </c>
      <c r="E37" s="18" t="s">
        <v>142</v>
      </c>
      <c r="F37" s="18" t="s">
        <v>41</v>
      </c>
      <c r="G37" s="19" t="str">
        <f t="shared" si="4"/>
        <v>H:</v>
      </c>
      <c r="H37" s="19">
        <v>2200</v>
      </c>
      <c r="I37" s="20" t="str">
        <f t="shared" si="5"/>
        <v>W:</v>
      </c>
      <c r="J37" s="20">
        <v>400</v>
      </c>
      <c r="K37" s="21" t="str">
        <f t="shared" si="6"/>
        <v>D:</v>
      </c>
      <c r="L37" s="21">
        <v>1000</v>
      </c>
      <c r="M37" s="22"/>
      <c r="N37" s="23"/>
      <c r="O37" s="24"/>
      <c r="P37" s="25"/>
      <c r="Q37" s="26" t="str">
        <f t="shared" si="7"/>
        <v>Marco  / H:2200W:400D:1000 mm</v>
      </c>
      <c r="S37" s="41" t="s">
        <v>153</v>
      </c>
      <c r="T37" s="42" t="s">
        <v>154</v>
      </c>
      <c r="U37" s="29" t="s">
        <v>155</v>
      </c>
      <c r="V37" s="120"/>
      <c r="W37" s="30" t="s">
        <v>156</v>
      </c>
      <c r="X37" s="30"/>
      <c r="Y37" s="30"/>
      <c r="Z37" s="31" t="str">
        <f>V37&amp;U37&amp;MID(W37,1,3)&amp;MID(X37,1,3)&amp;MID(Y37,1,3)</f>
        <v>TaMPM6</v>
      </c>
      <c r="AA37" s="43" t="str">
        <f>VLOOKUP(Z37,$B$6:$D$470,3,FALSE)</f>
        <v>012111</v>
      </c>
      <c r="AD37" s="158" t="str">
        <f t="shared" si="8"/>
        <v>INS1VFMW3-</v>
      </c>
      <c r="AE37" s="148" t="s">
        <v>733</v>
      </c>
      <c r="AF37" s="148" t="s">
        <v>697</v>
      </c>
      <c r="AG37" s="148" t="s">
        <v>888</v>
      </c>
      <c r="AH37" s="3" t="s">
        <v>742</v>
      </c>
      <c r="AI37" s="3" t="s">
        <v>522</v>
      </c>
      <c r="AJ37" s="148" t="s">
        <v>735</v>
      </c>
      <c r="AK37" s="148" t="s">
        <v>738</v>
      </c>
      <c r="AL37" s="148" t="s">
        <v>701</v>
      </c>
      <c r="AM37" s="148"/>
      <c r="AN37" s="148" t="s">
        <v>564</v>
      </c>
      <c r="AO37" s="148" t="str">
        <f t="shared" si="9"/>
        <v>I</v>
      </c>
      <c r="AP37" s="3" t="str" cm="1">
        <f t="array" ref="AP37">IFERROR(_xlfn.IFS(AH37="Mini Breaker ","MB",AH37="GoPact ","GP",AH37="EZC 100 ","EZ1",AH37="EZC 250 ","EZ2",AH37="CVS/NSX 250 ","CV2",AH37="CVS/NSX/EZC 630 ","CV6",AH37="NS 1600 ","NS1",AH37="NW/MTZ 4000 ","NW4",AH37="Conmutador PEQ. ","CP",AH37="Conmutador MED. ","CM",AH37="Conmutador GRA. ","CG",AH37="Contactores ","CK"),"")</f>
        <v>NS1</v>
      </c>
      <c r="AQ37" s="3" t="str" cm="1">
        <f t="array" ref="AQ37">_xlfn.IFS(AI37="Horizontal ","H",AI37="Horizontal COMPUESTA ","HC",AI37="Vertical ","V",AI37="Vertical Compacta ","VC",AI37="Vertical Extendida ","VE")</f>
        <v>V</v>
      </c>
      <c r="AR37" s="148" t="str">
        <f>MID(AJ37,1,1)</f>
        <v>F</v>
      </c>
      <c r="AS37" s="148" t="str">
        <f>MID(AK37,1,1)</f>
        <v>M</v>
      </c>
      <c r="AT37" s="148" t="str" cm="1">
        <f t="array" ref="AT37">IFERROR(_xlfn.IFS(AL37="W:200 ","W1",AL37="W:400 ","W2",AL37="W:720 ","W3",AL37="W:800 ","W4",AL37="W:1120 ","W5"),"")</f>
        <v>W3</v>
      </c>
      <c r="AU37" s="148" t="str" cm="1">
        <f t="array" ref="AU37">IFERROR(_xlfn.IFS(AM37="D:400 ","D1",AM37="D:600 ","D2",AM37="D:1000 ","D3"),"")</f>
        <v/>
      </c>
      <c r="AV37" s="148" t="s">
        <v>677</v>
      </c>
      <c r="AW37" s="148" t="s">
        <v>676</v>
      </c>
      <c r="AX37" s="159" t="str">
        <f t="shared" si="10"/>
        <v>UF.  de NS 1600 Vertical Fijo Motorizado W:720 -</v>
      </c>
      <c r="BB37" s="285" t="str">
        <f t="shared" si="11"/>
        <v>4IHZ</v>
      </c>
      <c r="BC37" s="262">
        <f>BC36</f>
        <v>4</v>
      </c>
      <c r="BD37" s="262" t="str">
        <f>BD36</f>
        <v>I</v>
      </c>
      <c r="BE37" s="262" t="str">
        <f>BE36</f>
        <v>H</v>
      </c>
      <c r="BF37" s="286" t="str" cm="1">
        <f t="array" ref="BF37">IFERROR(_xlfn.IFS(BL37="400 + 400","X",BL37="720","Y",BL37="1120","Z"),"")</f>
        <v>Z</v>
      </c>
      <c r="BG37" s="266"/>
      <c r="BH37" s="318"/>
      <c r="BI37" s="319"/>
      <c r="BJ37" s="325"/>
      <c r="BK37" s="297"/>
      <c r="BL37" s="197" t="s">
        <v>172</v>
      </c>
      <c r="BM37" s="227" t="s">
        <v>871</v>
      </c>
      <c r="BN37" s="229" t="s">
        <v>564</v>
      </c>
      <c r="BO37" s="230" t="s">
        <v>564</v>
      </c>
      <c r="BP37" s="230" t="s">
        <v>564</v>
      </c>
      <c r="BQ37" s="230" t="s">
        <v>564</v>
      </c>
      <c r="BR37" s="230" t="s">
        <v>564</v>
      </c>
      <c r="BS37" s="230" t="s">
        <v>564</v>
      </c>
      <c r="BT37" s="230" t="s">
        <v>564</v>
      </c>
      <c r="BU37" s="230" t="s">
        <v>564</v>
      </c>
      <c r="BV37" s="230" t="s">
        <v>564</v>
      </c>
      <c r="BW37" s="230" t="s">
        <v>564</v>
      </c>
      <c r="BX37" s="230" t="s">
        <v>564</v>
      </c>
      <c r="BY37" s="230" t="s">
        <v>564</v>
      </c>
      <c r="BZ37" s="250" t="s">
        <v>564</v>
      </c>
      <c r="CB37" s="285" t="str">
        <f t="shared" si="2"/>
        <v>4IV</v>
      </c>
      <c r="CC37" s="262" t="s">
        <v>875</v>
      </c>
      <c r="CD37" s="286" t="str" cm="1">
        <f t="array" ref="CD37">IFERROR(_xlfn.IFS(CF37="1/4","M",CF37="1/2","N",CF37="3/4","O",CF37="1","P"),"")</f>
        <v/>
      </c>
      <c r="CE37" s="266"/>
      <c r="CF37" s="291" t="s">
        <v>564</v>
      </c>
      <c r="CG37" s="231" t="s">
        <v>564</v>
      </c>
      <c r="CH37" s="232" t="s">
        <v>564</v>
      </c>
      <c r="CI37" s="233" t="s">
        <v>564</v>
      </c>
      <c r="CJ37" s="233" t="s">
        <v>564</v>
      </c>
      <c r="CK37" s="233" t="s">
        <v>564</v>
      </c>
      <c r="CL37" s="233" t="s">
        <v>564</v>
      </c>
      <c r="CM37" s="233" t="s">
        <v>564</v>
      </c>
      <c r="CN37" s="233" t="s">
        <v>564</v>
      </c>
      <c r="CO37" s="233" t="s">
        <v>564</v>
      </c>
      <c r="CP37" s="251" t="s">
        <v>564</v>
      </c>
    </row>
    <row r="38" spans="1:94" ht="20" customHeight="1" outlineLevel="1" x14ac:dyDescent="0.65">
      <c r="A38" s="14">
        <v>33</v>
      </c>
      <c r="B38" s="15" t="str">
        <f t="shared" si="3"/>
        <v>227240Ma</v>
      </c>
      <c r="C38" s="16" t="s">
        <v>21</v>
      </c>
      <c r="D38" s="17" t="s">
        <v>157</v>
      </c>
      <c r="E38" s="18" t="s">
        <v>135</v>
      </c>
      <c r="F38" s="18" t="s">
        <v>57</v>
      </c>
      <c r="G38" s="19" t="str">
        <f t="shared" si="4"/>
        <v>H:</v>
      </c>
      <c r="H38" s="19">
        <v>2200</v>
      </c>
      <c r="I38" s="20" t="str">
        <f t="shared" si="5"/>
        <v>W:</v>
      </c>
      <c r="J38" s="20">
        <v>720</v>
      </c>
      <c r="K38" s="21" t="str">
        <f t="shared" si="6"/>
        <v>D:</v>
      </c>
      <c r="L38" s="21">
        <v>400</v>
      </c>
      <c r="M38" s="22"/>
      <c r="N38" s="23"/>
      <c r="O38" s="24"/>
      <c r="P38" s="25"/>
      <c r="Q38" s="26" t="str">
        <f t="shared" si="7"/>
        <v>Marco  / H:2200W:720D:400 mm</v>
      </c>
      <c r="T38" s="1" t="s">
        <v>103</v>
      </c>
      <c r="AA38" s="1"/>
      <c r="AD38" s="158" t="str">
        <f t="shared" si="8"/>
        <v>INS1VFPW2-</v>
      </c>
      <c r="AE38" s="148" t="s">
        <v>733</v>
      </c>
      <c r="AF38" s="148" t="s">
        <v>697</v>
      </c>
      <c r="AG38" s="148" t="s">
        <v>888</v>
      </c>
      <c r="AH38" s="3" t="s">
        <v>742</v>
      </c>
      <c r="AI38" s="3" t="s">
        <v>522</v>
      </c>
      <c r="AJ38" s="148" t="s">
        <v>735</v>
      </c>
      <c r="AK38" s="148" t="s">
        <v>736</v>
      </c>
      <c r="AL38" s="148" t="s">
        <v>700</v>
      </c>
      <c r="AM38" s="148"/>
      <c r="AN38" s="148" t="s">
        <v>564</v>
      </c>
      <c r="AO38" s="148" t="str">
        <f t="shared" si="9"/>
        <v>I</v>
      </c>
      <c r="AP38" s="3" t="str" cm="1">
        <f t="array" ref="AP38">IFERROR(_xlfn.IFS(AH38="Mini Breaker ","MB",AH38="GoPact ","GP",AH38="EZC 100 ","EZ1",AH38="EZC 250 ","EZ2",AH38="CVS/NSX 250 ","CV2",AH38="CVS/NSX/EZC 630 ","CV6",AH38="NS 1600 ","NS1",AH38="NW/MTZ 4000 ","NW4",AH38="Conmutador PEQ. ","CP",AH38="Conmutador MED. ","CM",AH38="Conmutador GRA. ","CG",AH38="Contactores ","CK"),"")</f>
        <v>NS1</v>
      </c>
      <c r="AQ38" s="3" t="str" cm="1">
        <f t="array" ref="AQ38">_xlfn.IFS(AI38="Horizontal ","H",AI38="Horizontal COMPUESTA ","HC",AI38="Vertical ","V",AI38="Vertical Compacta ","VC",AI38="Vertical Extendida ","VE")</f>
        <v>V</v>
      </c>
      <c r="AR38" s="148" t="str">
        <f>MID(AJ38,1,1)</f>
        <v>F</v>
      </c>
      <c r="AS38" s="148" t="str">
        <f>MID(AK38,1,1)</f>
        <v>P</v>
      </c>
      <c r="AT38" s="148" t="str" cm="1">
        <f t="array" ref="AT38">IFERROR(_xlfn.IFS(AL38="W:200 ","W1",AL38="W:400 ","W2",AL38="W:720 ","W3",AL38="W:800 ","W4",AL38="W:1120 ","W5"),"")</f>
        <v>W2</v>
      </c>
      <c r="AU38" s="148" t="str" cm="1">
        <f t="array" ref="AU38">IFERROR(_xlfn.IFS(AM38="D:400 ","D1",AM38="D:600 ","D2",AM38="D:1000 ","D3"),"")</f>
        <v/>
      </c>
      <c r="AV38" s="148" t="s">
        <v>678</v>
      </c>
      <c r="AW38" s="148" t="s">
        <v>679</v>
      </c>
      <c r="AX38" s="159" t="str">
        <f t="shared" si="10"/>
        <v>UF.  de NS 1600 Vertical Fijo Palanca W:400 -</v>
      </c>
      <c r="BB38" s="283" t="str">
        <f t="shared" si="11"/>
        <v>4JHY</v>
      </c>
      <c r="BC38" s="261" cm="1">
        <f t="array" ref="BC38">_xlfn.IFS(BJ38="10 - 25",1,BJ38="10 - 40",2,BJ38="10 - 65",3,BJ38="10 - 85",4)</f>
        <v>4</v>
      </c>
      <c r="BD38" s="261" t="str" cm="1">
        <f t="array" ref="BD38">_xlfn.IFS(BK38="630","A",BK38="1250","B",BK38="1600","C",BK38="2000","D",BK38="2500","E",BK38="3200","F",BK38="4000","G",BK38="5000","H",BK38="6300","I",BK38="7000","J")</f>
        <v>J</v>
      </c>
      <c r="BE38" s="261" t="s">
        <v>1</v>
      </c>
      <c r="BF38" s="284" t="str" cm="1">
        <f t="array" ref="BF38">IFERROR(_xlfn.IFS(BL38="400 + 400","X",BL38="720","Y",BL38="1120","Z"),"")</f>
        <v>Y</v>
      </c>
      <c r="BG38" s="266"/>
      <c r="BH38" s="318"/>
      <c r="BI38" s="319"/>
      <c r="BJ38" s="323" t="s">
        <v>614</v>
      </c>
      <c r="BK38" s="296" t="s">
        <v>872</v>
      </c>
      <c r="BL38" s="222" t="s">
        <v>170</v>
      </c>
      <c r="BM38" s="223" t="s">
        <v>873</v>
      </c>
      <c r="BN38" s="203" t="s">
        <v>600</v>
      </c>
      <c r="BO38" s="233" t="s">
        <v>564</v>
      </c>
      <c r="BP38" s="233" t="s">
        <v>564</v>
      </c>
      <c r="BQ38" s="233" t="s">
        <v>564</v>
      </c>
      <c r="BR38" s="233" t="s">
        <v>564</v>
      </c>
      <c r="BS38" s="233" t="s">
        <v>564</v>
      </c>
      <c r="BT38" s="233" t="s">
        <v>564</v>
      </c>
      <c r="BU38" s="233" t="s">
        <v>564</v>
      </c>
      <c r="BV38" s="233" t="s">
        <v>564</v>
      </c>
      <c r="BW38" s="233" t="s">
        <v>564</v>
      </c>
      <c r="BX38" s="233" t="s">
        <v>564</v>
      </c>
      <c r="BY38" s="233" t="s">
        <v>564</v>
      </c>
      <c r="BZ38" s="251" t="s">
        <v>564</v>
      </c>
      <c r="CB38" s="283" t="str">
        <f t="shared" si="2"/>
        <v>4JV</v>
      </c>
      <c r="CC38" s="261" t="s">
        <v>875</v>
      </c>
      <c r="CD38" s="284" t="str" cm="1">
        <f t="array" ref="CD38">IFERROR(_xlfn.IFS(CF38="1/4","M",CF38="1/2","N",CF38="3/4","O",CF38="1","P"),"")</f>
        <v/>
      </c>
      <c r="CE38" s="266"/>
      <c r="CF38" s="290" t="s">
        <v>564</v>
      </c>
      <c r="CG38" s="228" t="s">
        <v>564</v>
      </c>
      <c r="CH38" s="229" t="s">
        <v>564</v>
      </c>
      <c r="CI38" s="230" t="s">
        <v>564</v>
      </c>
      <c r="CJ38" s="230" t="s">
        <v>564</v>
      </c>
      <c r="CK38" s="230" t="s">
        <v>564</v>
      </c>
      <c r="CL38" s="230" t="s">
        <v>564</v>
      </c>
      <c r="CM38" s="230" t="s">
        <v>564</v>
      </c>
      <c r="CN38" s="230" t="s">
        <v>564</v>
      </c>
      <c r="CO38" s="230" t="s">
        <v>564</v>
      </c>
      <c r="CP38" s="250" t="s">
        <v>564</v>
      </c>
    </row>
    <row r="39" spans="1:94" ht="20" customHeight="1" outlineLevel="1" thickBot="1" x14ac:dyDescent="0.7">
      <c r="A39" s="14">
        <v>34</v>
      </c>
      <c r="B39" s="15" t="str">
        <f t="shared" si="3"/>
        <v>227260Ma</v>
      </c>
      <c r="C39" s="16" t="s">
        <v>21</v>
      </c>
      <c r="D39" s="17" t="s">
        <v>158</v>
      </c>
      <c r="E39" s="18" t="s">
        <v>138</v>
      </c>
      <c r="F39" s="18" t="s">
        <v>57</v>
      </c>
      <c r="G39" s="19" t="str">
        <f t="shared" si="4"/>
        <v>H:</v>
      </c>
      <c r="H39" s="19">
        <v>2200</v>
      </c>
      <c r="I39" s="20" t="str">
        <f t="shared" si="5"/>
        <v>W:</v>
      </c>
      <c r="J39" s="20">
        <v>720</v>
      </c>
      <c r="K39" s="21" t="str">
        <f t="shared" si="6"/>
        <v>D:</v>
      </c>
      <c r="L39" s="21">
        <v>600</v>
      </c>
      <c r="M39" s="22"/>
      <c r="N39" s="23"/>
      <c r="O39" s="24"/>
      <c r="P39" s="25"/>
      <c r="Q39" s="26" t="str">
        <f t="shared" si="7"/>
        <v>Marco  / H:2200W:720D:600 mm</v>
      </c>
      <c r="T39" s="1" t="s">
        <v>103</v>
      </c>
      <c r="AA39" s="1"/>
      <c r="AD39" s="158" t="str">
        <f t="shared" si="8"/>
        <v>INS1VFMW2-</v>
      </c>
      <c r="AE39" s="148" t="s">
        <v>733</v>
      </c>
      <c r="AF39" s="148" t="s">
        <v>697</v>
      </c>
      <c r="AG39" s="148" t="s">
        <v>888</v>
      </c>
      <c r="AH39" s="3" t="s">
        <v>742</v>
      </c>
      <c r="AI39" s="3" t="s">
        <v>522</v>
      </c>
      <c r="AJ39" s="148" t="s">
        <v>735</v>
      </c>
      <c r="AK39" s="148" t="s">
        <v>738</v>
      </c>
      <c r="AL39" s="148" t="s">
        <v>700</v>
      </c>
      <c r="AM39" s="148"/>
      <c r="AN39" s="148" t="s">
        <v>564</v>
      </c>
      <c r="AO39" s="148" t="str">
        <f t="shared" si="9"/>
        <v>I</v>
      </c>
      <c r="AP39" s="3" t="str" cm="1">
        <f t="array" ref="AP39">IFERROR(_xlfn.IFS(AH39="Mini Breaker ","MB",AH39="GoPact ","GP",AH39="EZC 100 ","EZ1",AH39="EZC 250 ","EZ2",AH39="CVS/NSX 250 ","CV2",AH39="CVS/NSX/EZC 630 ","CV6",AH39="NS 1600 ","NS1",AH39="NW/MTZ 4000 ","NW4",AH39="Conmutador PEQ. ","CP",AH39="Conmutador MED. ","CM",AH39="Conmutador GRA. ","CG",AH39="Contactores ","CK"),"")</f>
        <v>NS1</v>
      </c>
      <c r="AQ39" s="3" t="str" cm="1">
        <f t="array" ref="AQ39">_xlfn.IFS(AI39="Horizontal ","H",AI39="Horizontal COMPUESTA ","HC",AI39="Vertical ","V",AI39="Vertical Compacta ","VC",AI39="Vertical Extendida ","VE")</f>
        <v>V</v>
      </c>
      <c r="AR39" s="148" t="str">
        <f>MID(AJ39,1,1)</f>
        <v>F</v>
      </c>
      <c r="AS39" s="148" t="str">
        <f>MID(AK39,1,1)</f>
        <v>M</v>
      </c>
      <c r="AT39" s="148" t="str" cm="1">
        <f t="array" ref="AT39">IFERROR(_xlfn.IFS(AL39="W:200 ","W1",AL39="W:400 ","W2",AL39="W:720 ","W3",AL39="W:800 ","W4",AL39="W:1120 ","W5"),"")</f>
        <v>W2</v>
      </c>
      <c r="AU39" s="148" t="str" cm="1">
        <f t="array" ref="AU39">IFERROR(_xlfn.IFS(AM39="D:400 ","D1",AM39="D:600 ","D2",AM39="D:1000 ","D3"),"")</f>
        <v/>
      </c>
      <c r="AV39" s="148" t="s">
        <v>680</v>
      </c>
      <c r="AW39" s="148" t="s">
        <v>679</v>
      </c>
      <c r="AX39" s="159" t="str">
        <f t="shared" si="10"/>
        <v>UF.  de NS 1600 Vertical Fijo Motorizado W:400 -</v>
      </c>
      <c r="BB39" s="287" t="str">
        <f t="shared" si="11"/>
        <v>4JHZ</v>
      </c>
      <c r="BC39" s="265">
        <f>BC38</f>
        <v>4</v>
      </c>
      <c r="BD39" s="265" t="str">
        <f>BD38</f>
        <v>J</v>
      </c>
      <c r="BE39" s="265" t="str">
        <f>BE38</f>
        <v>H</v>
      </c>
      <c r="BF39" s="288" t="str" cm="1">
        <f t="array" ref="BF39">IFERROR(_xlfn.IFS(BL39="400 + 400","X",BL39="720","Y",BL39="1120","Z"),"")</f>
        <v>Z</v>
      </c>
      <c r="BG39" s="266"/>
      <c r="BH39" s="320"/>
      <c r="BI39" s="321"/>
      <c r="BJ39" s="326"/>
      <c r="BK39" s="327"/>
      <c r="BL39" s="252" t="s">
        <v>172</v>
      </c>
      <c r="BM39" s="253" t="s">
        <v>874</v>
      </c>
      <c r="BN39" s="254" t="s">
        <v>564</v>
      </c>
      <c r="BO39" s="255" t="s">
        <v>564</v>
      </c>
      <c r="BP39" s="255" t="s">
        <v>564</v>
      </c>
      <c r="BQ39" s="255" t="s">
        <v>564</v>
      </c>
      <c r="BR39" s="255" t="s">
        <v>564</v>
      </c>
      <c r="BS39" s="255" t="s">
        <v>564</v>
      </c>
      <c r="BT39" s="255" t="s">
        <v>564</v>
      </c>
      <c r="BU39" s="255" t="s">
        <v>564</v>
      </c>
      <c r="BV39" s="255" t="s">
        <v>564</v>
      </c>
      <c r="BW39" s="255" t="s">
        <v>564</v>
      </c>
      <c r="BX39" s="255" t="s">
        <v>564</v>
      </c>
      <c r="BY39" s="255" t="s">
        <v>564</v>
      </c>
      <c r="BZ39" s="294" t="s">
        <v>564</v>
      </c>
      <c r="CB39" s="287" t="str">
        <f t="shared" si="2"/>
        <v>4JV</v>
      </c>
      <c r="CC39" s="265" t="s">
        <v>875</v>
      </c>
      <c r="CD39" s="288" t="str" cm="1">
        <f t="array" ref="CD39">IFERROR(_xlfn.IFS(CF39="1/4","M",CF39="1/2","N",CF39="3/4","O",CF39="1","P"),"")</f>
        <v/>
      </c>
      <c r="CE39" s="266"/>
      <c r="CF39" s="292" t="s">
        <v>564</v>
      </c>
      <c r="CG39" s="256" t="s">
        <v>564</v>
      </c>
      <c r="CH39" s="257" t="s">
        <v>564</v>
      </c>
      <c r="CI39" s="258" t="s">
        <v>564</v>
      </c>
      <c r="CJ39" s="258" t="s">
        <v>564</v>
      </c>
      <c r="CK39" s="258" t="s">
        <v>564</v>
      </c>
      <c r="CL39" s="258" t="s">
        <v>564</v>
      </c>
      <c r="CM39" s="258" t="s">
        <v>564</v>
      </c>
      <c r="CN39" s="258" t="s">
        <v>564</v>
      </c>
      <c r="CO39" s="258" t="s">
        <v>564</v>
      </c>
      <c r="CP39" s="259" t="s">
        <v>564</v>
      </c>
    </row>
    <row r="40" spans="1:94" ht="20" customHeight="1" outlineLevel="1" x14ac:dyDescent="0.65">
      <c r="A40" s="14">
        <v>35</v>
      </c>
      <c r="B40" s="15" t="str">
        <f t="shared" si="3"/>
        <v>227210Ma</v>
      </c>
      <c r="C40" s="16" t="s">
        <v>21</v>
      </c>
      <c r="D40" s="17" t="s">
        <v>159</v>
      </c>
      <c r="E40" s="18" t="s">
        <v>142</v>
      </c>
      <c r="F40" s="18" t="s">
        <v>57</v>
      </c>
      <c r="G40" s="19" t="str">
        <f t="shared" si="4"/>
        <v>H:</v>
      </c>
      <c r="H40" s="19">
        <v>2200</v>
      </c>
      <c r="I40" s="20" t="str">
        <f t="shared" si="5"/>
        <v>W:</v>
      </c>
      <c r="J40" s="20">
        <v>720</v>
      </c>
      <c r="K40" s="21" t="str">
        <f t="shared" si="6"/>
        <v>D:</v>
      </c>
      <c r="L40" s="21">
        <v>1000</v>
      </c>
      <c r="M40" s="22"/>
      <c r="N40" s="23"/>
      <c r="O40" s="24"/>
      <c r="P40" s="25"/>
      <c r="Q40" s="26" t="str">
        <f t="shared" si="7"/>
        <v>Marco  / H:2200W:720D:1000 mm</v>
      </c>
      <c r="T40" s="1" t="s">
        <v>103</v>
      </c>
      <c r="AA40" s="1"/>
      <c r="AD40" s="158" t="str">
        <f t="shared" si="8"/>
        <v>INS1HFPW3-</v>
      </c>
      <c r="AE40" s="148" t="s">
        <v>733</v>
      </c>
      <c r="AF40" s="148" t="s">
        <v>697</v>
      </c>
      <c r="AG40" s="148" t="s">
        <v>888</v>
      </c>
      <c r="AH40" s="3" t="s">
        <v>742</v>
      </c>
      <c r="AI40" s="3" t="s">
        <v>699</v>
      </c>
      <c r="AJ40" s="148" t="s">
        <v>735</v>
      </c>
      <c r="AK40" s="148" t="s">
        <v>736</v>
      </c>
      <c r="AL40" s="148" t="s">
        <v>701</v>
      </c>
      <c r="AM40" s="148"/>
      <c r="AN40" s="148" t="s">
        <v>564</v>
      </c>
      <c r="AO40" s="148" t="str">
        <f t="shared" si="9"/>
        <v>I</v>
      </c>
      <c r="AP40" s="3" t="str" cm="1">
        <f t="array" ref="AP40">IFERROR(_xlfn.IFS(AH40="Mini Breaker ","MB",AH40="GoPact ","GP",AH40="EZC 100 ","EZ1",AH40="EZC 250 ","EZ2",AH40="CVS/NSX 250 ","CV2",AH40="CVS/NSX/EZC 630 ","CV6",AH40="NS 1600 ","NS1",AH40="NW/MTZ 4000 ","NW4",AH40="Conmutador PEQ. ","CP",AH40="Conmutador MED. ","CM",AH40="Conmutador GRA. ","CG",AH40="Contactores ","CK"),"")</f>
        <v>NS1</v>
      </c>
      <c r="AQ40" s="3" t="str" cm="1">
        <f t="array" ref="AQ40">_xlfn.IFS(AI40="Horizontal ","H",AI40="Horizontal COMPUESTA ","HC",AI40="Vertical ","V",AI40="Vertical Compacta ","VC",AI40="Vertical Extendida ","VE")</f>
        <v>H</v>
      </c>
      <c r="AR40" s="148" t="str">
        <f>MID(AJ40,1,1)</f>
        <v>F</v>
      </c>
      <c r="AS40" s="148" t="str">
        <f>MID(AK40,1,1)</f>
        <v>P</v>
      </c>
      <c r="AT40" s="148" t="str" cm="1">
        <f t="array" ref="AT40">IFERROR(_xlfn.IFS(AL40="W:200 ","W1",AL40="W:400 ","W2",AL40="W:720 ","W3",AL40="W:800 ","W4",AL40="W:1120 ","W5"),"")</f>
        <v>W3</v>
      </c>
      <c r="AU40" s="148" t="str" cm="1">
        <f t="array" ref="AU40">IFERROR(_xlfn.IFS(AM40="D:400 ","D1",AM40="D:600 ","D2",AM40="D:1000 ","D3"),"")</f>
        <v/>
      </c>
      <c r="AV40" s="148" t="s">
        <v>681</v>
      </c>
      <c r="AW40" s="148" t="s">
        <v>682</v>
      </c>
      <c r="AX40" s="159" t="str">
        <f t="shared" si="10"/>
        <v>UF.  de NS 1600 Horizontal Fijo Palanca W:720 -</v>
      </c>
    </row>
    <row r="41" spans="1:94" ht="20" customHeight="1" outlineLevel="1" x14ac:dyDescent="0.65">
      <c r="A41" s="14">
        <v>36</v>
      </c>
      <c r="B41" s="15" t="str">
        <f t="shared" si="3"/>
        <v>228060Ma</v>
      </c>
      <c r="C41" s="16" t="s">
        <v>21</v>
      </c>
      <c r="D41" s="17" t="s">
        <v>160</v>
      </c>
      <c r="E41" s="18" t="s">
        <v>138</v>
      </c>
      <c r="F41" s="18" t="s">
        <v>121</v>
      </c>
      <c r="G41" s="19" t="str">
        <f t="shared" si="4"/>
        <v>H:</v>
      </c>
      <c r="H41" s="19">
        <v>2200</v>
      </c>
      <c r="I41" s="20" t="str">
        <f t="shared" si="5"/>
        <v>W:</v>
      </c>
      <c r="J41" s="20">
        <v>800</v>
      </c>
      <c r="K41" s="21" t="str">
        <f t="shared" si="6"/>
        <v>D:</v>
      </c>
      <c r="L41" s="21">
        <v>600</v>
      </c>
      <c r="M41" s="22"/>
      <c r="N41" s="23"/>
      <c r="O41" s="24"/>
      <c r="P41" s="25"/>
      <c r="Q41" s="26" t="str">
        <f t="shared" si="7"/>
        <v>Marco  / H:2200W:800D:600 mm</v>
      </c>
      <c r="T41" s="1" t="s">
        <v>103</v>
      </c>
      <c r="AA41" s="1"/>
      <c r="AD41" s="158" t="str">
        <f t="shared" si="8"/>
        <v>INS1HFMW3-</v>
      </c>
      <c r="AE41" s="148" t="s">
        <v>733</v>
      </c>
      <c r="AF41" s="148" t="s">
        <v>697</v>
      </c>
      <c r="AG41" s="148" t="s">
        <v>888</v>
      </c>
      <c r="AH41" s="3" t="s">
        <v>742</v>
      </c>
      <c r="AI41" s="3" t="s">
        <v>699</v>
      </c>
      <c r="AJ41" s="148" t="s">
        <v>735</v>
      </c>
      <c r="AK41" s="148" t="s">
        <v>738</v>
      </c>
      <c r="AL41" s="148" t="s">
        <v>701</v>
      </c>
      <c r="AM41" s="148"/>
      <c r="AN41" s="148" t="s">
        <v>564</v>
      </c>
      <c r="AO41" s="148" t="str">
        <f t="shared" si="9"/>
        <v>I</v>
      </c>
      <c r="AP41" s="3" t="str" cm="1">
        <f t="array" ref="AP41">IFERROR(_xlfn.IFS(AH41="Mini Breaker ","MB",AH41="GoPact ","GP",AH41="EZC 100 ","EZ1",AH41="EZC 250 ","EZ2",AH41="CVS/NSX 250 ","CV2",AH41="CVS/NSX/EZC 630 ","CV6",AH41="NS 1600 ","NS1",AH41="NW/MTZ 4000 ","NW4",AH41="Conmutador PEQ. ","CP",AH41="Conmutador MED. ","CM",AH41="Conmutador GRA. ","CG",AH41="Contactores ","CK"),"")</f>
        <v>NS1</v>
      </c>
      <c r="AQ41" s="3" t="str" cm="1">
        <f t="array" ref="AQ41">_xlfn.IFS(AI41="Horizontal ","H",AI41="Horizontal COMPUESTA ","HC",AI41="Vertical ","V",AI41="Vertical Compacta ","VC",AI41="Vertical Extendida ","VE")</f>
        <v>H</v>
      </c>
      <c r="AR41" s="148" t="str">
        <f>MID(AJ41,1,1)</f>
        <v>F</v>
      </c>
      <c r="AS41" s="148" t="str">
        <f>MID(AK41,1,1)</f>
        <v>M</v>
      </c>
      <c r="AT41" s="148" t="str" cm="1">
        <f t="array" ref="AT41">IFERROR(_xlfn.IFS(AL41="W:200 ","W1",AL41="W:400 ","W2",AL41="W:720 ","W3",AL41="W:800 ","W4",AL41="W:1120 ","W5"),"")</f>
        <v>W3</v>
      </c>
      <c r="AU41" s="148" t="str" cm="1">
        <f t="array" ref="AU41">IFERROR(_xlfn.IFS(AM41="D:400 ","D1",AM41="D:600 ","D2",AM41="D:1000 ","D3"),"")</f>
        <v/>
      </c>
      <c r="AV41" s="148" t="s">
        <v>683</v>
      </c>
      <c r="AW41" s="148" t="s">
        <v>682</v>
      </c>
      <c r="AX41" s="159" t="str">
        <f t="shared" si="10"/>
        <v>UF.  de NS 1600 Horizontal Fijo Motorizado W:720 -</v>
      </c>
    </row>
    <row r="42" spans="1:94" ht="20" customHeight="1" outlineLevel="1" x14ac:dyDescent="0.65">
      <c r="A42" s="14">
        <v>37</v>
      </c>
      <c r="B42" s="15" t="str">
        <f t="shared" si="3"/>
        <v>228010Ma</v>
      </c>
      <c r="C42" s="16" t="s">
        <v>21</v>
      </c>
      <c r="D42" s="17" t="s">
        <v>161</v>
      </c>
      <c r="E42" s="18" t="s">
        <v>142</v>
      </c>
      <c r="F42" s="18" t="s">
        <v>121</v>
      </c>
      <c r="G42" s="19" t="str">
        <f t="shared" si="4"/>
        <v>H:</v>
      </c>
      <c r="H42" s="19">
        <v>2200</v>
      </c>
      <c r="I42" s="20" t="str">
        <f t="shared" si="5"/>
        <v>W:</v>
      </c>
      <c r="J42" s="20">
        <v>800</v>
      </c>
      <c r="K42" s="21" t="str">
        <f t="shared" si="6"/>
        <v>D:</v>
      </c>
      <c r="L42" s="21">
        <v>1000</v>
      </c>
      <c r="M42" s="22"/>
      <c r="N42" s="23"/>
      <c r="O42" s="24"/>
      <c r="P42" s="25"/>
      <c r="Q42" s="26" t="str">
        <f t="shared" si="7"/>
        <v>Marco  / H:2200W:800D:1000 mm</v>
      </c>
      <c r="T42" s="1" t="s">
        <v>103</v>
      </c>
      <c r="AA42" s="1"/>
      <c r="AD42" s="158" t="str">
        <f t="shared" si="8"/>
        <v>INW4VFMW3-D1</v>
      </c>
      <c r="AE42" s="148" t="s">
        <v>733</v>
      </c>
      <c r="AF42" s="148" t="s">
        <v>697</v>
      </c>
      <c r="AG42" s="148" t="s">
        <v>888</v>
      </c>
      <c r="AH42" s="3" t="s">
        <v>743</v>
      </c>
      <c r="AI42" s="3" t="s">
        <v>522</v>
      </c>
      <c r="AJ42" s="148" t="s">
        <v>735</v>
      </c>
      <c r="AK42" s="148" t="s">
        <v>738</v>
      </c>
      <c r="AL42" s="148" t="s">
        <v>701</v>
      </c>
      <c r="AM42" s="148" t="s">
        <v>704</v>
      </c>
      <c r="AN42" s="148" t="s">
        <v>564</v>
      </c>
      <c r="AO42" s="148" t="str">
        <f t="shared" si="9"/>
        <v>I</v>
      </c>
      <c r="AP42" s="3" t="str" cm="1">
        <f t="array" ref="AP42">IFERROR(_xlfn.IFS(AH42="Mini Breaker ","MB",AH42="GoPact ","GP",AH42="EZC 100 ","EZ1",AH42="EZC 250 ","EZ2",AH42="CVS/NSX 250 ","CV2",AH42="CVS/NSX/EZC 630 ","CV6",AH42="NS 1600 ","NS1",AH42="NW/MTZ 4000 ","NW4",AH42="Conmutador PEQ. ","CP",AH42="Conmutador MED. ","CM",AH42="Conmutador GRA. ","CG",AH42="Contactores ","CK"),"")</f>
        <v>NW4</v>
      </c>
      <c r="AQ42" s="3" t="str" cm="1">
        <f t="array" ref="AQ42">_xlfn.IFS(AI42="Horizontal ","H",AI42="Horizontal COMPUESTA ","HC",AI42="Vertical ","V",AI42="Vertical Compacta ","VC",AI42="Vertical Extendida ","VE")</f>
        <v>V</v>
      </c>
      <c r="AR42" s="148" t="str">
        <f>MID(AJ42,1,1)</f>
        <v>F</v>
      </c>
      <c r="AS42" s="148" t="str">
        <f>MID(AK42,1,1)</f>
        <v>M</v>
      </c>
      <c r="AT42" s="148" t="str" cm="1">
        <f t="array" ref="AT42">IFERROR(_xlfn.IFS(AL42="W:200 ","W1",AL42="W:400 ","W2",AL42="W:720 ","W3",AL42="W:800 ","W4",AL42="W:1120 ","W5"),"")</f>
        <v>W3</v>
      </c>
      <c r="AU42" s="148" t="str" cm="1">
        <f t="array" ref="AU42">IFERROR(_xlfn.IFS(AM42="D:400 ","D1",AM42="D:600 ","D2",AM42="D:1000 ","D3"),"")</f>
        <v>D1</v>
      </c>
      <c r="AV42" s="148" t="s">
        <v>686</v>
      </c>
      <c r="AW42" s="148" t="s">
        <v>687</v>
      </c>
      <c r="AX42" s="159" t="str">
        <f t="shared" si="10"/>
        <v>UF.  de NW/MTZ 4000 Vertical Fijo Motorizado W:720 D:400 -</v>
      </c>
    </row>
    <row r="43" spans="1:94" ht="20" customHeight="1" outlineLevel="1" x14ac:dyDescent="0.65">
      <c r="A43" s="14">
        <v>38</v>
      </c>
      <c r="B43" s="15" t="str">
        <f t="shared" si="3"/>
        <v>221140Ma</v>
      </c>
      <c r="C43" s="16" t="s">
        <v>21</v>
      </c>
      <c r="D43" s="17" t="s">
        <v>162</v>
      </c>
      <c r="E43" s="18" t="s">
        <v>135</v>
      </c>
      <c r="F43" s="18" t="s">
        <v>71</v>
      </c>
      <c r="G43" s="19" t="str">
        <f t="shared" si="4"/>
        <v>H:</v>
      </c>
      <c r="H43" s="19">
        <v>2200</v>
      </c>
      <c r="I43" s="20" t="str">
        <f t="shared" si="5"/>
        <v>W:</v>
      </c>
      <c r="J43" s="20">
        <v>1120</v>
      </c>
      <c r="K43" s="21" t="str">
        <f t="shared" si="6"/>
        <v>D:</v>
      </c>
      <c r="L43" s="21">
        <v>400</v>
      </c>
      <c r="M43" s="22"/>
      <c r="N43" s="23"/>
      <c r="O43" s="24"/>
      <c r="P43" s="25"/>
      <c r="Q43" s="26" t="str">
        <f t="shared" si="7"/>
        <v>Marco  / H:2200W:1120D:400 mm</v>
      </c>
      <c r="T43" s="1" t="s">
        <v>103</v>
      </c>
      <c r="AA43" s="1"/>
      <c r="AD43" s="158" t="str">
        <f t="shared" si="8"/>
        <v>INW4VFMW3-D2</v>
      </c>
      <c r="AE43" s="148" t="s">
        <v>733</v>
      </c>
      <c r="AF43" s="148" t="s">
        <v>697</v>
      </c>
      <c r="AG43" s="148" t="s">
        <v>888</v>
      </c>
      <c r="AH43" s="3" t="s">
        <v>743</v>
      </c>
      <c r="AI43" s="3" t="s">
        <v>522</v>
      </c>
      <c r="AJ43" s="148" t="s">
        <v>735</v>
      </c>
      <c r="AK43" s="148" t="s">
        <v>738</v>
      </c>
      <c r="AL43" s="148" t="s">
        <v>701</v>
      </c>
      <c r="AM43" s="148" t="s">
        <v>705</v>
      </c>
      <c r="AN43" s="148" t="s">
        <v>564</v>
      </c>
      <c r="AO43" s="148" t="str">
        <f t="shared" si="9"/>
        <v>I</v>
      </c>
      <c r="AP43" s="3" t="str" cm="1">
        <f t="array" ref="AP43">IFERROR(_xlfn.IFS(AH43="Mini Breaker ","MB",AH43="GoPact ","GP",AH43="EZC 100 ","EZ1",AH43="EZC 250 ","EZ2",AH43="CVS/NSX 250 ","CV2",AH43="CVS/NSX/EZC 630 ","CV6",AH43="NS 1600 ","NS1",AH43="NW/MTZ 4000 ","NW4",AH43="Conmutador PEQ. ","CP",AH43="Conmutador MED. ","CM",AH43="Conmutador GRA. ","CG",AH43="Contactores ","CK"),"")</f>
        <v>NW4</v>
      </c>
      <c r="AQ43" s="3" t="str" cm="1">
        <f t="array" ref="AQ43">_xlfn.IFS(AI43="Horizontal ","H",AI43="Horizontal COMPUESTA ","HC",AI43="Vertical ","V",AI43="Vertical Compacta ","VC",AI43="Vertical Extendida ","VE")</f>
        <v>V</v>
      </c>
      <c r="AR43" s="148" t="str">
        <f>MID(AJ43,1,1)</f>
        <v>F</v>
      </c>
      <c r="AS43" s="148" t="str">
        <f>MID(AK43,1,1)</f>
        <v>M</v>
      </c>
      <c r="AT43" s="148" t="str" cm="1">
        <f t="array" ref="AT43">IFERROR(_xlfn.IFS(AL43="W:200 ","W1",AL43="W:400 ","W2",AL43="W:720 ","W3",AL43="W:800 ","W4",AL43="W:1120 ","W5"),"")</f>
        <v>W3</v>
      </c>
      <c r="AU43" s="148" t="str" cm="1">
        <f t="array" ref="AU43">IFERROR(_xlfn.IFS(AM43="D:400 ","D1",AM43="D:600 ","D2",AM43="D:1000 ","D3"),"")</f>
        <v>D2</v>
      </c>
      <c r="AV43" s="148" t="s">
        <v>686</v>
      </c>
      <c r="AW43" s="148" t="s">
        <v>688</v>
      </c>
      <c r="AX43" s="159" t="str">
        <f t="shared" si="10"/>
        <v>UF.  de NW/MTZ 4000 Vertical Fijo Motorizado W:720 D:600 -</v>
      </c>
    </row>
    <row r="44" spans="1:94" ht="20" customHeight="1" outlineLevel="1" x14ac:dyDescent="0.65">
      <c r="A44" s="14">
        <v>39</v>
      </c>
      <c r="B44" s="15" t="str">
        <f t="shared" si="3"/>
        <v>221160Ma</v>
      </c>
      <c r="C44" s="16" t="s">
        <v>21</v>
      </c>
      <c r="D44" s="17" t="s">
        <v>163</v>
      </c>
      <c r="E44" s="18" t="s">
        <v>138</v>
      </c>
      <c r="F44" s="18" t="s">
        <v>71</v>
      </c>
      <c r="G44" s="19" t="str">
        <f t="shared" si="4"/>
        <v>H:</v>
      </c>
      <c r="H44" s="19">
        <v>2200</v>
      </c>
      <c r="I44" s="20" t="str">
        <f t="shared" si="5"/>
        <v>W:</v>
      </c>
      <c r="J44" s="20">
        <v>1120</v>
      </c>
      <c r="K44" s="21" t="str">
        <f t="shared" si="6"/>
        <v>D:</v>
      </c>
      <c r="L44" s="21">
        <v>600</v>
      </c>
      <c r="M44" s="22"/>
      <c r="N44" s="23"/>
      <c r="O44" s="24"/>
      <c r="P44" s="25"/>
      <c r="Q44" s="26" t="str">
        <f t="shared" si="7"/>
        <v>Marco  / H:2200W:1120D:600 mm</v>
      </c>
      <c r="T44" s="1" t="s">
        <v>103</v>
      </c>
      <c r="AA44" s="1"/>
      <c r="AD44" s="158" t="str">
        <f t="shared" si="8"/>
        <v>INW4VEW3-D2</v>
      </c>
      <c r="AE44" s="148" t="s">
        <v>733</v>
      </c>
      <c r="AF44" s="148" t="s">
        <v>697</v>
      </c>
      <c r="AG44" s="148" t="s">
        <v>888</v>
      </c>
      <c r="AH44" s="3" t="s">
        <v>743</v>
      </c>
      <c r="AI44" s="3" t="s">
        <v>522</v>
      </c>
      <c r="AJ44" s="148" t="s">
        <v>744</v>
      </c>
      <c r="AK44" s="148"/>
      <c r="AL44" s="148" t="s">
        <v>701</v>
      </c>
      <c r="AM44" s="148" t="s">
        <v>705</v>
      </c>
      <c r="AN44" s="148" t="s">
        <v>564</v>
      </c>
      <c r="AO44" s="148" t="str">
        <f t="shared" si="9"/>
        <v>I</v>
      </c>
      <c r="AP44" s="3" t="str" cm="1">
        <f t="array" ref="AP44">IFERROR(_xlfn.IFS(AH44="Mini Breaker ","MB",AH44="GoPact ","GP",AH44="EZC 100 ","EZ1",AH44="EZC 250 ","EZ2",AH44="CVS/NSX 250 ","CV2",AH44="CVS/NSX/EZC 630 ","CV6",AH44="NS 1600 ","NS1",AH44="NW/MTZ 4000 ","NW4",AH44="Conmutador PEQ. ","CP",AH44="Conmutador MED. ","CM",AH44="Conmutador GRA. ","CG",AH44="Contactores ","CK"),"")</f>
        <v>NW4</v>
      </c>
      <c r="AQ44" s="3" t="str" cm="1">
        <f t="array" ref="AQ44">_xlfn.IFS(AI44="Horizontal ","H",AI44="Horizontal COMPUESTA ","HC",AI44="Vertical ","V",AI44="Vertical Compacta ","VC",AI44="Vertical Extendida ","VE")</f>
        <v>V</v>
      </c>
      <c r="AR44" s="148" t="str">
        <f>MID(AJ44,1,1)</f>
        <v>E</v>
      </c>
      <c r="AS44" s="148" t="str">
        <f>MID(AK44,1,1)</f>
        <v/>
      </c>
      <c r="AT44" s="148" t="str" cm="1">
        <f t="array" ref="AT44">IFERROR(_xlfn.IFS(AL44="W:200 ","W1",AL44="W:400 ","W2",AL44="W:720 ","W3",AL44="W:800 ","W4",AL44="W:1120 ","W5"),"")</f>
        <v>W3</v>
      </c>
      <c r="AU44" s="148" t="str" cm="1">
        <f t="array" ref="AU44">IFERROR(_xlfn.IFS(AM44="D:400 ","D1",AM44="D:600 ","D2",AM44="D:1000 ","D3"),"")</f>
        <v>D2</v>
      </c>
      <c r="AV44" s="148" t="s">
        <v>689</v>
      </c>
      <c r="AW44" s="148" t="s">
        <v>690</v>
      </c>
      <c r="AX44" s="159" t="str">
        <f t="shared" si="10"/>
        <v>UF.  de NW/MTZ 4000 Vertical Extraible W:720 D:600 -</v>
      </c>
    </row>
    <row r="45" spans="1:94" ht="20" customHeight="1" outlineLevel="1" x14ac:dyDescent="0.65">
      <c r="A45" s="14">
        <v>40</v>
      </c>
      <c r="B45" s="15" t="str">
        <f t="shared" si="3"/>
        <v>221110Ma</v>
      </c>
      <c r="C45" s="16" t="s">
        <v>21</v>
      </c>
      <c r="D45" s="17" t="s">
        <v>164</v>
      </c>
      <c r="E45" s="18" t="s">
        <v>142</v>
      </c>
      <c r="F45" s="18" t="s">
        <v>71</v>
      </c>
      <c r="G45" s="19" t="str">
        <f t="shared" si="4"/>
        <v>H:</v>
      </c>
      <c r="H45" s="19">
        <v>2200</v>
      </c>
      <c r="I45" s="20" t="str">
        <f t="shared" si="5"/>
        <v>W:</v>
      </c>
      <c r="J45" s="20">
        <v>1120</v>
      </c>
      <c r="K45" s="21" t="str">
        <f t="shared" si="6"/>
        <v>D:</v>
      </c>
      <c r="L45" s="21">
        <v>1000</v>
      </c>
      <c r="M45" s="22"/>
      <c r="N45" s="23"/>
      <c r="O45" s="24"/>
      <c r="P45" s="25"/>
      <c r="Q45" s="26" t="str">
        <f t="shared" si="7"/>
        <v>Marco  / H:2200W:1120D:1000 mm</v>
      </c>
      <c r="T45" s="1" t="s">
        <v>103</v>
      </c>
      <c r="AD45" s="158" t="str">
        <f t="shared" si="8"/>
        <v>ICPVFW3-</v>
      </c>
      <c r="AE45" s="148" t="s">
        <v>733</v>
      </c>
      <c r="AF45" s="148" t="s">
        <v>697</v>
      </c>
      <c r="AG45" s="148" t="s">
        <v>888</v>
      </c>
      <c r="AH45" s="3" t="s">
        <v>719</v>
      </c>
      <c r="AI45" s="3" t="s">
        <v>522</v>
      </c>
      <c r="AJ45" s="148" t="s">
        <v>735</v>
      </c>
      <c r="AK45" s="148"/>
      <c r="AL45" s="148" t="s">
        <v>701</v>
      </c>
      <c r="AM45" s="148"/>
      <c r="AN45" s="148" t="s">
        <v>564</v>
      </c>
      <c r="AO45" s="148" t="str">
        <f t="shared" si="9"/>
        <v>I</v>
      </c>
      <c r="AP45" s="3" t="str" cm="1">
        <f t="array" ref="AP45">IFERROR(_xlfn.IFS(AH45="Mini Breaker ","MB",AH45="GoPact ","GP",AH45="EZC 100 ","EZ1",AH45="EZC 250 ","EZ2",AH45="CVS/NSX 250 ","CV2",AH45="CVS/NSX/EZC 630 ","CV6",AH45="NS 1600 ","NS1",AH45="NW/MTZ 4000 ","NW4",AH45="Conmutador PEQ. ","CP",AH45="Conmutador MED. ","CM",AH45="Conmutador GRA. ","CG",AH45="Contactores ","CK"),"")</f>
        <v>CP</v>
      </c>
      <c r="AQ45" s="3" t="str" cm="1">
        <f t="array" ref="AQ45">_xlfn.IFS(AI45="Horizontal ","H",AI45="Horizontal COMPUESTA ","HC",AI45="Vertical ","V",AI45="Vertical Compacta ","VC",AI45="Vertical Extendida ","VE")</f>
        <v>V</v>
      </c>
      <c r="AR45" s="148" t="str">
        <f>MID(AJ45,1,1)</f>
        <v>F</v>
      </c>
      <c r="AS45" s="148" t="str">
        <f>MID(AK45,1,1)</f>
        <v/>
      </c>
      <c r="AT45" s="148" t="str" cm="1">
        <f t="array" ref="AT45">IFERROR(_xlfn.IFS(AL45="W:200 ","W1",AL45="W:400 ","W2",AL45="W:720 ","W3",AL45="W:800 ","W4",AL45="W:1120 ","W5"),"")</f>
        <v>W3</v>
      </c>
      <c r="AU45" s="148" t="str" cm="1">
        <f t="array" ref="AU45">IFERROR(_xlfn.IFS(AM45="D:400 ","D1",AM45="D:600 ","D2",AM45="D:1000 ","D3"),"")</f>
        <v/>
      </c>
      <c r="AV45" s="148" t="s">
        <v>691</v>
      </c>
      <c r="AW45" s="148" t="s">
        <v>692</v>
      </c>
      <c r="AX45" s="159" t="str">
        <f t="shared" si="10"/>
        <v>UF.  de Conmutador PEQ. Vertical Fijo W:720 -</v>
      </c>
    </row>
    <row r="46" spans="1:94" ht="20" customHeight="1" x14ac:dyDescent="0.65">
      <c r="B46" s="45" t="str">
        <f t="shared" si="3"/>
        <v/>
      </c>
      <c r="C46" s="1"/>
      <c r="M46" s="1"/>
      <c r="N46" s="1"/>
      <c r="O46" s="1"/>
      <c r="P46" s="1"/>
      <c r="Q46" s="46"/>
      <c r="T46" s="1" t="s">
        <v>103</v>
      </c>
      <c r="AD46" s="158" t="str">
        <f t="shared" si="8"/>
        <v>ICMVFW3-</v>
      </c>
      <c r="AE46" s="148" t="s">
        <v>733</v>
      </c>
      <c r="AF46" s="148" t="s">
        <v>697</v>
      </c>
      <c r="AG46" s="148" t="s">
        <v>888</v>
      </c>
      <c r="AH46" s="3" t="s">
        <v>745</v>
      </c>
      <c r="AI46" s="3" t="s">
        <v>522</v>
      </c>
      <c r="AJ46" s="148" t="s">
        <v>735</v>
      </c>
      <c r="AK46" s="148"/>
      <c r="AL46" s="148" t="s">
        <v>701</v>
      </c>
      <c r="AM46" s="148"/>
      <c r="AN46" s="148" t="s">
        <v>564</v>
      </c>
      <c r="AO46" s="148" t="str">
        <f t="shared" si="9"/>
        <v>I</v>
      </c>
      <c r="AP46" s="3" t="str" cm="1">
        <f t="array" ref="AP46">IFERROR(_xlfn.IFS(AH46="Mini Breaker ","MB",AH46="GoPact ","GP",AH46="EZC 100 ","EZ1",AH46="EZC 250 ","EZ2",AH46="CVS/NSX 250 ","CV2",AH46="CVS/NSX/EZC 630 ","CV6",AH46="NS 1600 ","NS1",AH46="NW/MTZ 4000 ","NW4",AH46="Conmutador PEQ. ","CP",AH46="Conmutador MED. ","CM",AH46="Conmutador GRA. ","CG",AH46="Contactores ","CK"),"")</f>
        <v>CM</v>
      </c>
      <c r="AQ46" s="3" t="str" cm="1">
        <f t="array" ref="AQ46">_xlfn.IFS(AI46="Horizontal ","H",AI46="Horizontal COMPUESTA ","HC",AI46="Vertical ","V",AI46="Vertical Compacta ","VC",AI46="Vertical Extendida ","VE")</f>
        <v>V</v>
      </c>
      <c r="AR46" s="148" t="str">
        <f>MID(AJ46,1,1)</f>
        <v>F</v>
      </c>
      <c r="AS46" s="148" t="str">
        <f>MID(AK46,1,1)</f>
        <v/>
      </c>
      <c r="AT46" s="148" t="str" cm="1">
        <f t="array" ref="AT46">IFERROR(_xlfn.IFS(AL46="W:200 ","W1",AL46="W:400 ","W2",AL46="W:720 ","W3",AL46="W:800 ","W4",AL46="W:1120 ","W5"),"")</f>
        <v>W3</v>
      </c>
      <c r="AU46" s="148" t="str" cm="1">
        <f t="array" ref="AU46">IFERROR(_xlfn.IFS(AM46="D:400 ","D1",AM46="D:600 ","D2",AM46="D:1000 ","D3"),"")</f>
        <v/>
      </c>
      <c r="AV46" s="148" t="s">
        <v>693</v>
      </c>
      <c r="AW46" s="148" t="s">
        <v>694</v>
      </c>
      <c r="AX46" s="159" t="str">
        <f t="shared" si="10"/>
        <v>UF.  de Conmutador MED. Vertical Fijo W:720 -</v>
      </c>
    </row>
    <row r="47" spans="1:94" ht="20" customHeight="1" outlineLevel="1" x14ac:dyDescent="0.65">
      <c r="A47" s="14"/>
      <c r="B47" s="15" t="str">
        <f t="shared" si="3"/>
        <v>1840MaL</v>
      </c>
      <c r="C47" s="16" t="s">
        <v>21</v>
      </c>
      <c r="D47" s="47" t="s">
        <v>165</v>
      </c>
      <c r="E47" s="18"/>
      <c r="F47" s="18"/>
      <c r="G47" s="19" t="str">
        <f t="shared" ref="G47:G57" si="27">IF(H47&lt;&gt;"","H:","")</f>
        <v>H:</v>
      </c>
      <c r="H47" s="19" t="s">
        <v>166</v>
      </c>
      <c r="I47" s="20" t="str">
        <f t="shared" ref="I47:I57" si="28">IF(J47&lt;&gt;"","W:","")</f>
        <v>W:</v>
      </c>
      <c r="J47" s="20" t="s">
        <v>167</v>
      </c>
      <c r="K47" s="21" t="str">
        <f t="shared" ref="K47:K57" si="29">IF(L47&lt;&gt;"","D:","")</f>
        <v/>
      </c>
      <c r="L47" s="21"/>
      <c r="M47" s="22" t="s">
        <v>168</v>
      </c>
      <c r="N47" s="23"/>
      <c r="O47" s="24"/>
      <c r="P47" s="25"/>
      <c r="Q47" s="26" t="str">
        <f t="shared" ref="Q47:Q57" si="30">IF(B47&lt;&gt;"",(C47&amp;M47&amp;N47&amp;O47&amp;P47&amp;" / "&amp;G47&amp;H47&amp;I47&amp;J47&amp;K47&amp;L47&amp;" mm"),"")</f>
        <v>Marco Liso / H:1800W:400 mm</v>
      </c>
      <c r="T47" s="1"/>
      <c r="AD47" s="158" t="str">
        <f t="shared" si="8"/>
        <v>ICGVFW3-</v>
      </c>
      <c r="AE47" s="148" t="s">
        <v>733</v>
      </c>
      <c r="AF47" s="148" t="s">
        <v>697</v>
      </c>
      <c r="AG47" s="148" t="s">
        <v>888</v>
      </c>
      <c r="AH47" s="3" t="s">
        <v>746</v>
      </c>
      <c r="AI47" s="3" t="s">
        <v>522</v>
      </c>
      <c r="AJ47" s="148" t="s">
        <v>735</v>
      </c>
      <c r="AK47" s="148"/>
      <c r="AL47" s="148" t="s">
        <v>701</v>
      </c>
      <c r="AM47" s="148"/>
      <c r="AN47" s="148" t="s">
        <v>564</v>
      </c>
      <c r="AO47" s="148" t="str">
        <f t="shared" si="9"/>
        <v>I</v>
      </c>
      <c r="AP47" s="3" t="str" cm="1">
        <f t="array" ref="AP47">IFERROR(_xlfn.IFS(AH47="Mini Breaker ","MB",AH47="GoPact ","GP",AH47="EZC 100 ","EZ1",AH47="EZC 250 ","EZ2",AH47="CVS/NSX 250 ","CV2",AH47="CVS/NSX/EZC 630 ","CV6",AH47="NS 1600 ","NS1",AH47="NW/MTZ 4000 ","NW4",AH47="Conmutador PEQ. ","CP",AH47="Conmutador MED. ","CM",AH47="Conmutador GRA. ","CG",AH47="Contactores ","CK"),"")</f>
        <v>CG</v>
      </c>
      <c r="AQ47" s="3" t="str" cm="1">
        <f t="array" ref="AQ47">_xlfn.IFS(AI47="Horizontal ","H",AI47="Horizontal COMPUESTA ","HC",AI47="Vertical ","V",AI47="Vertical Compacta ","VC",AI47="Vertical Extendida ","VE")</f>
        <v>V</v>
      </c>
      <c r="AR47" s="148" t="str">
        <f>MID(AJ47,1,1)</f>
        <v>F</v>
      </c>
      <c r="AS47" s="148" t="str">
        <f>MID(AK47,1,1)</f>
        <v/>
      </c>
      <c r="AT47" s="148" t="str" cm="1">
        <f t="array" ref="AT47">IFERROR(_xlfn.IFS(AL47="W:200 ","W1",AL47="W:400 ","W2",AL47="W:720 ","W3",AL47="W:800 ","W4",AL47="W:1120 ","W5"),"")</f>
        <v>W3</v>
      </c>
      <c r="AU47" s="148" t="str" cm="1">
        <f t="array" ref="AU47">IFERROR(_xlfn.IFS(AM47="D:400 ","D1",AM47="D:600 ","D2",AM47="D:1000 ","D3"),"")</f>
        <v/>
      </c>
      <c r="AV47" s="148" t="s">
        <v>695</v>
      </c>
      <c r="AW47" s="148" t="s">
        <v>696</v>
      </c>
      <c r="AX47" s="159" t="str">
        <f t="shared" si="10"/>
        <v>UF.  de Conmutador GRA. Vertical Fijo W:720 -</v>
      </c>
    </row>
    <row r="48" spans="1:94" ht="20" customHeight="1" outlineLevel="1" x14ac:dyDescent="0.65">
      <c r="A48" s="14"/>
      <c r="B48" s="15" t="str">
        <f t="shared" si="3"/>
        <v>1872MaL</v>
      </c>
      <c r="C48" s="16" t="s">
        <v>21</v>
      </c>
      <c r="D48" s="47" t="s">
        <v>169</v>
      </c>
      <c r="E48" s="18"/>
      <c r="F48" s="18"/>
      <c r="G48" s="19" t="str">
        <f t="shared" si="27"/>
        <v>H:</v>
      </c>
      <c r="H48" s="19" t="s">
        <v>166</v>
      </c>
      <c r="I48" s="20" t="str">
        <f t="shared" si="28"/>
        <v>W:</v>
      </c>
      <c r="J48" s="20" t="s">
        <v>170</v>
      </c>
      <c r="K48" s="21" t="str">
        <f t="shared" si="29"/>
        <v/>
      </c>
      <c r="L48" s="21"/>
      <c r="M48" s="22" t="s">
        <v>168</v>
      </c>
      <c r="N48" s="23"/>
      <c r="O48" s="24"/>
      <c r="P48" s="25"/>
      <c r="Q48" s="26" t="str">
        <f t="shared" si="30"/>
        <v>Marco Liso / H:1800W:720 mm</v>
      </c>
      <c r="T48" s="1"/>
      <c r="AD48" s="158" t="str">
        <f t="shared" si="8"/>
        <v>ICKVFW3-</v>
      </c>
      <c r="AE48" s="148" t="s">
        <v>733</v>
      </c>
      <c r="AF48" s="148" t="s">
        <v>697</v>
      </c>
      <c r="AG48" s="148" t="s">
        <v>888</v>
      </c>
      <c r="AH48" s="3" t="s">
        <v>698</v>
      </c>
      <c r="AI48" s="3" t="s">
        <v>522</v>
      </c>
      <c r="AJ48" s="148" t="s">
        <v>735</v>
      </c>
      <c r="AK48" s="148"/>
      <c r="AL48" s="148" t="s">
        <v>701</v>
      </c>
      <c r="AM48" s="148"/>
      <c r="AN48" s="148" t="s">
        <v>564</v>
      </c>
      <c r="AO48" s="148" t="str">
        <f t="shared" si="9"/>
        <v>I</v>
      </c>
      <c r="AP48" s="3" t="str" cm="1">
        <f t="array" ref="AP48">IFERROR(_xlfn.IFS(AH48="Mini Breaker ","MB",AH48="GoPact ","GP",AH48="EZC 100 ","EZ1",AH48="EZC 250 ","EZ2",AH48="CVS/NSX 250 ","CV2",AH48="CVS/NSX/EZC 630 ","CV6",AH48="NS 1600 ","NS1",AH48="NW/MTZ 4000 ","NW4",AH48="Conmutador PEQ. ","CP",AH48="Conmutador MED. ","CM",AH48="Conmutador GRA. ","CG",AH48="Contactores ","CK"),"")</f>
        <v>CK</v>
      </c>
      <c r="AQ48" s="3" t="str" cm="1">
        <f t="array" ref="AQ48">_xlfn.IFS(AI48="Horizontal ","H",AI48="Horizontal COMPUESTA ","HC",AI48="Vertical ","V",AI48="Vertical Compacta ","VC",AI48="Vertical Extendida ","VE")</f>
        <v>V</v>
      </c>
      <c r="AR48" s="148" t="str">
        <f>MID(AJ48,1,1)</f>
        <v>F</v>
      </c>
      <c r="AS48" s="148" t="str">
        <f>MID(AK48,1,1)</f>
        <v/>
      </c>
      <c r="AT48" s="148" t="str" cm="1">
        <f t="array" ref="AT48">IFERROR(_xlfn.IFS(AL48="W:200 ","W1",AL48="W:400 ","W2",AL48="W:720 ","W3",AL48="W:800 ","W4",AL48="W:1120 ","W5"),"")</f>
        <v>W3</v>
      </c>
      <c r="AU48" s="148" t="str" cm="1">
        <f t="array" ref="AU48">IFERROR(_xlfn.IFS(AM48="D:400 ","D1",AM48="D:600 ","D2",AM48="D:1000 ","D3"),"")</f>
        <v/>
      </c>
      <c r="AV48" s="148" t="s">
        <v>684</v>
      </c>
      <c r="AW48" s="147" t="s">
        <v>748</v>
      </c>
      <c r="AX48" s="159" t="str">
        <f t="shared" si="10"/>
        <v>UF.  de Contactores Vertical Fijo W:720 -</v>
      </c>
    </row>
    <row r="49" spans="1:50" ht="20" customHeight="1" outlineLevel="1" x14ac:dyDescent="0.65">
      <c r="A49" s="14"/>
      <c r="B49" s="15" t="str">
        <f t="shared" si="3"/>
        <v>1811MaL</v>
      </c>
      <c r="C49" s="16" t="s">
        <v>21</v>
      </c>
      <c r="D49" s="47" t="s">
        <v>171</v>
      </c>
      <c r="E49" s="18"/>
      <c r="F49" s="18"/>
      <c r="G49" s="19" t="str">
        <f t="shared" si="27"/>
        <v>H:</v>
      </c>
      <c r="H49" s="19" t="s">
        <v>166</v>
      </c>
      <c r="I49" s="20" t="str">
        <f t="shared" si="28"/>
        <v>W:</v>
      </c>
      <c r="J49" s="20" t="s">
        <v>172</v>
      </c>
      <c r="K49" s="21" t="str">
        <f t="shared" si="29"/>
        <v/>
      </c>
      <c r="L49" s="21"/>
      <c r="M49" s="22" t="s">
        <v>168</v>
      </c>
      <c r="N49" s="23"/>
      <c r="O49" s="24"/>
      <c r="P49" s="25"/>
      <c r="Q49" s="26" t="str">
        <f t="shared" si="30"/>
        <v>Marco Liso / H:1800W:1120 mm</v>
      </c>
      <c r="T49" s="1"/>
      <c r="AD49" s="158" t="str">
        <f t="shared" si="8"/>
        <v>ICKVFW2-</v>
      </c>
      <c r="AE49" s="148" t="s">
        <v>733</v>
      </c>
      <c r="AF49" s="148" t="s">
        <v>697</v>
      </c>
      <c r="AG49" s="148" t="s">
        <v>888</v>
      </c>
      <c r="AH49" s="3" t="s">
        <v>698</v>
      </c>
      <c r="AI49" s="3" t="s">
        <v>522</v>
      </c>
      <c r="AJ49" s="148" t="s">
        <v>735</v>
      </c>
      <c r="AK49" s="148"/>
      <c r="AL49" s="148" t="s">
        <v>700</v>
      </c>
      <c r="AM49" s="148"/>
      <c r="AN49" s="148" t="s">
        <v>564</v>
      </c>
      <c r="AO49" s="148" t="str">
        <f t="shared" si="9"/>
        <v>I</v>
      </c>
      <c r="AP49" s="3" t="str" cm="1">
        <f t="array" ref="AP49">IFERROR(_xlfn.IFS(AH49="Mini Breaker ","MB",AH49="GoPact ","GP",AH49="EZC 100 ","EZ1",AH49="EZC 250 ","EZ2",AH49="CVS/NSX 250 ","CV2",AH49="CVS/NSX/EZC 630 ","CV6",AH49="NS 1600 ","NS1",AH49="NW/MTZ 4000 ","NW4",AH49="Conmutador PEQ. ","CP",AH49="Conmutador MED. ","CM",AH49="Conmutador GRA. ","CG",AH49="Contactores ","CK"),"")</f>
        <v>CK</v>
      </c>
      <c r="AQ49" s="3" t="str" cm="1">
        <f t="array" ref="AQ49">_xlfn.IFS(AI49="Horizontal ","H",AI49="Horizontal COMPUESTA ","HC",AI49="Vertical ","V",AI49="Vertical Compacta ","VC",AI49="Vertical Extendida ","VE")</f>
        <v>V</v>
      </c>
      <c r="AR49" s="148" t="str">
        <f>MID(AJ49,1,1)</f>
        <v>F</v>
      </c>
      <c r="AS49" s="148" t="str">
        <f>MID(AK49,1,1)</f>
        <v/>
      </c>
      <c r="AT49" s="148" t="str" cm="1">
        <f t="array" ref="AT49">IFERROR(_xlfn.IFS(AL49="W:200 ","W1",AL49="W:400 ","W2",AL49="W:720 ","W3",AL49="W:800 ","W4",AL49="W:1120 ","W5"),"")</f>
        <v>W2</v>
      </c>
      <c r="AU49" s="148" t="str" cm="1">
        <f t="array" ref="AU49">IFERROR(_xlfn.IFS(AM49="D:400 ","D1",AM49="D:600 ","D2",AM49="D:1000 ","D3"),"")</f>
        <v/>
      </c>
      <c r="AV49" s="148" t="s">
        <v>685</v>
      </c>
      <c r="AW49" s="147" t="s">
        <v>748</v>
      </c>
      <c r="AX49" s="159" t="str">
        <f t="shared" si="10"/>
        <v>UF.  de Contactores Vertical Fijo W:400 -</v>
      </c>
    </row>
    <row r="50" spans="1:50" ht="20" customHeight="1" outlineLevel="1" x14ac:dyDescent="0.65">
      <c r="A50" s="14"/>
      <c r="B50" s="15" t="str">
        <f t="shared" si="3"/>
        <v>2040MaL</v>
      </c>
      <c r="C50" s="16" t="s">
        <v>21</v>
      </c>
      <c r="D50" s="47" t="s">
        <v>173</v>
      </c>
      <c r="E50" s="18"/>
      <c r="F50" s="18"/>
      <c r="G50" s="19" t="str">
        <f t="shared" si="27"/>
        <v>H:</v>
      </c>
      <c r="H50" s="19" t="s">
        <v>174</v>
      </c>
      <c r="I50" s="20" t="str">
        <f t="shared" si="28"/>
        <v>W:</v>
      </c>
      <c r="J50" s="20" t="s">
        <v>167</v>
      </c>
      <c r="K50" s="21" t="str">
        <f t="shared" si="29"/>
        <v/>
      </c>
      <c r="L50" s="21"/>
      <c r="M50" s="22" t="s">
        <v>168</v>
      </c>
      <c r="N50" s="23"/>
      <c r="O50" s="24"/>
      <c r="P50" s="25"/>
      <c r="Q50" s="26" t="str">
        <f t="shared" si="30"/>
        <v>Marco Liso / H:2000W:400 mm</v>
      </c>
      <c r="T50" s="1"/>
    </row>
    <row r="51" spans="1:50" ht="20" customHeight="1" outlineLevel="1" x14ac:dyDescent="0.65">
      <c r="A51" s="14"/>
      <c r="B51" s="15" t="str">
        <f t="shared" si="3"/>
        <v>2072MaL</v>
      </c>
      <c r="C51" s="16" t="s">
        <v>21</v>
      </c>
      <c r="D51" s="47" t="s">
        <v>175</v>
      </c>
      <c r="E51" s="18"/>
      <c r="F51" s="18"/>
      <c r="G51" s="19" t="str">
        <f t="shared" si="27"/>
        <v>H:</v>
      </c>
      <c r="H51" s="19" t="s">
        <v>174</v>
      </c>
      <c r="I51" s="20" t="str">
        <f t="shared" si="28"/>
        <v>W:</v>
      </c>
      <c r="J51" s="20" t="s">
        <v>170</v>
      </c>
      <c r="K51" s="21" t="str">
        <f t="shared" si="29"/>
        <v/>
      </c>
      <c r="L51" s="21"/>
      <c r="M51" s="22" t="s">
        <v>168</v>
      </c>
      <c r="N51" s="23"/>
      <c r="O51" s="24"/>
      <c r="P51" s="25"/>
      <c r="Q51" s="26" t="str">
        <f t="shared" si="30"/>
        <v>Marco Liso / H:2000W:720 mm</v>
      </c>
      <c r="T51" s="1"/>
    </row>
    <row r="52" spans="1:50" ht="20" customHeight="1" outlineLevel="1" x14ac:dyDescent="0.65">
      <c r="A52" s="14"/>
      <c r="B52" s="15" t="str">
        <f t="shared" si="3"/>
        <v>2080MaL</v>
      </c>
      <c r="C52" s="16" t="s">
        <v>21</v>
      </c>
      <c r="D52" s="47" t="s">
        <v>176</v>
      </c>
      <c r="E52" s="18"/>
      <c r="F52" s="18"/>
      <c r="G52" s="19" t="str">
        <f t="shared" si="27"/>
        <v>H:</v>
      </c>
      <c r="H52" s="19" t="s">
        <v>174</v>
      </c>
      <c r="I52" s="20" t="str">
        <f t="shared" si="28"/>
        <v>W:</v>
      </c>
      <c r="J52" s="20" t="s">
        <v>177</v>
      </c>
      <c r="K52" s="21" t="str">
        <f t="shared" si="29"/>
        <v/>
      </c>
      <c r="L52" s="21"/>
      <c r="M52" s="22" t="s">
        <v>168</v>
      </c>
      <c r="N52" s="23"/>
      <c r="O52" s="24"/>
      <c r="P52" s="25"/>
      <c r="Q52" s="26" t="str">
        <f t="shared" si="30"/>
        <v>Marco Liso / H:2000W:800 mm</v>
      </c>
      <c r="T52" s="1"/>
    </row>
    <row r="53" spans="1:50" ht="20" customHeight="1" outlineLevel="1" x14ac:dyDescent="0.65">
      <c r="A53" s="14"/>
      <c r="B53" s="15" t="str">
        <f t="shared" si="3"/>
        <v>2011MaL</v>
      </c>
      <c r="C53" s="16" t="s">
        <v>21</v>
      </c>
      <c r="D53" s="47" t="s">
        <v>178</v>
      </c>
      <c r="E53" s="18"/>
      <c r="F53" s="18"/>
      <c r="G53" s="19" t="str">
        <f t="shared" si="27"/>
        <v>H:</v>
      </c>
      <c r="H53" s="19" t="s">
        <v>174</v>
      </c>
      <c r="I53" s="20" t="str">
        <f t="shared" si="28"/>
        <v>W:</v>
      </c>
      <c r="J53" s="20" t="s">
        <v>172</v>
      </c>
      <c r="K53" s="21" t="str">
        <f t="shared" si="29"/>
        <v/>
      </c>
      <c r="L53" s="21"/>
      <c r="M53" s="22" t="s">
        <v>168</v>
      </c>
      <c r="N53" s="23"/>
      <c r="O53" s="24"/>
      <c r="P53" s="25"/>
      <c r="Q53" s="26" t="str">
        <f t="shared" si="30"/>
        <v>Marco Liso / H:2000W:1120 mm</v>
      </c>
      <c r="T53" s="1"/>
    </row>
    <row r="54" spans="1:50" ht="20" customHeight="1" outlineLevel="1" x14ac:dyDescent="0.65">
      <c r="A54" s="14"/>
      <c r="B54" s="15" t="str">
        <f t="shared" si="3"/>
        <v>2240MaL</v>
      </c>
      <c r="C54" s="16" t="s">
        <v>21</v>
      </c>
      <c r="D54" s="47" t="s">
        <v>179</v>
      </c>
      <c r="E54" s="18"/>
      <c r="F54" s="18"/>
      <c r="G54" s="19" t="str">
        <f t="shared" si="27"/>
        <v>H:</v>
      </c>
      <c r="H54" s="19" t="s">
        <v>180</v>
      </c>
      <c r="I54" s="20" t="str">
        <f t="shared" si="28"/>
        <v>W:</v>
      </c>
      <c r="J54" s="20" t="s">
        <v>167</v>
      </c>
      <c r="K54" s="21" t="str">
        <f t="shared" si="29"/>
        <v/>
      </c>
      <c r="L54" s="21"/>
      <c r="M54" s="22" t="s">
        <v>168</v>
      </c>
      <c r="N54" s="23"/>
      <c r="O54" s="24"/>
      <c r="P54" s="25"/>
      <c r="Q54" s="26" t="str">
        <f t="shared" si="30"/>
        <v>Marco Liso / H:2200W:400 mm</v>
      </c>
      <c r="T54" s="1"/>
    </row>
    <row r="55" spans="1:50" ht="20" customHeight="1" outlineLevel="1" x14ac:dyDescent="0.65">
      <c r="A55" s="14"/>
      <c r="B55" s="15" t="str">
        <f t="shared" si="3"/>
        <v>2272MaL</v>
      </c>
      <c r="C55" s="16" t="s">
        <v>21</v>
      </c>
      <c r="D55" s="47" t="s">
        <v>181</v>
      </c>
      <c r="E55" s="18"/>
      <c r="F55" s="18"/>
      <c r="G55" s="19" t="str">
        <f t="shared" si="27"/>
        <v>H:</v>
      </c>
      <c r="H55" s="19" t="s">
        <v>180</v>
      </c>
      <c r="I55" s="20" t="str">
        <f t="shared" si="28"/>
        <v>W:</v>
      </c>
      <c r="J55" s="20" t="s">
        <v>170</v>
      </c>
      <c r="K55" s="21" t="str">
        <f t="shared" si="29"/>
        <v/>
      </c>
      <c r="L55" s="21"/>
      <c r="M55" s="22" t="s">
        <v>168</v>
      </c>
      <c r="N55" s="23"/>
      <c r="O55" s="24"/>
      <c r="P55" s="25"/>
      <c r="Q55" s="26" t="str">
        <f t="shared" si="30"/>
        <v>Marco Liso / H:2200W:720 mm</v>
      </c>
      <c r="T55" s="1"/>
    </row>
    <row r="56" spans="1:50" ht="20" customHeight="1" outlineLevel="1" x14ac:dyDescent="0.65">
      <c r="A56" s="14"/>
      <c r="B56" s="15" t="str">
        <f t="shared" si="3"/>
        <v>2280MaL</v>
      </c>
      <c r="C56" s="16" t="s">
        <v>21</v>
      </c>
      <c r="D56" s="47" t="s">
        <v>182</v>
      </c>
      <c r="E56" s="18"/>
      <c r="F56" s="18"/>
      <c r="G56" s="19" t="str">
        <f t="shared" si="27"/>
        <v>H:</v>
      </c>
      <c r="H56" s="19" t="s">
        <v>180</v>
      </c>
      <c r="I56" s="20" t="str">
        <f t="shared" si="28"/>
        <v>W:</v>
      </c>
      <c r="J56" s="20" t="s">
        <v>177</v>
      </c>
      <c r="K56" s="21" t="str">
        <f t="shared" si="29"/>
        <v/>
      </c>
      <c r="L56" s="21"/>
      <c r="M56" s="22" t="s">
        <v>168</v>
      </c>
      <c r="N56" s="23"/>
      <c r="O56" s="24"/>
      <c r="P56" s="25"/>
      <c r="Q56" s="26" t="str">
        <f t="shared" si="30"/>
        <v>Marco Liso / H:2200W:800 mm</v>
      </c>
      <c r="T56" s="1"/>
    </row>
    <row r="57" spans="1:50" ht="20" customHeight="1" outlineLevel="1" x14ac:dyDescent="0.65">
      <c r="A57" s="14"/>
      <c r="B57" s="15" t="str">
        <f t="shared" si="3"/>
        <v>2211MaL</v>
      </c>
      <c r="C57" s="16" t="s">
        <v>21</v>
      </c>
      <c r="D57" s="47" t="s">
        <v>183</v>
      </c>
      <c r="E57" s="18"/>
      <c r="F57" s="18"/>
      <c r="G57" s="19" t="str">
        <f t="shared" si="27"/>
        <v>H:</v>
      </c>
      <c r="H57" s="19" t="s">
        <v>180</v>
      </c>
      <c r="I57" s="20" t="str">
        <f t="shared" si="28"/>
        <v>W:</v>
      </c>
      <c r="J57" s="20" t="s">
        <v>172</v>
      </c>
      <c r="K57" s="21" t="str">
        <f t="shared" si="29"/>
        <v/>
      </c>
      <c r="L57" s="21"/>
      <c r="M57" s="22" t="s">
        <v>168</v>
      </c>
      <c r="N57" s="23"/>
      <c r="O57" s="24"/>
      <c r="P57" s="25"/>
      <c r="Q57" s="26" t="str">
        <f t="shared" si="30"/>
        <v>Marco Liso / H:2200W:1120 mm</v>
      </c>
      <c r="T57" s="1"/>
    </row>
    <row r="58" spans="1:50" ht="20" customHeight="1" x14ac:dyDescent="0.65">
      <c r="B58" s="45" t="str">
        <f t="shared" si="3"/>
        <v/>
      </c>
      <c r="C58" s="1"/>
      <c r="M58" s="1"/>
      <c r="N58" s="1"/>
      <c r="O58" s="1"/>
      <c r="P58" s="1"/>
      <c r="Q58" s="46"/>
      <c r="T58" s="1" t="s">
        <v>103</v>
      </c>
    </row>
    <row r="59" spans="1:50" ht="20" customHeight="1" outlineLevel="1" x14ac:dyDescent="0.65">
      <c r="A59" s="14">
        <v>41</v>
      </c>
      <c r="B59" s="15" t="str">
        <f t="shared" si="3"/>
        <v>1820PuP</v>
      </c>
      <c r="C59" s="16" t="s">
        <v>184</v>
      </c>
      <c r="D59" s="48" t="s">
        <v>185</v>
      </c>
      <c r="E59" s="49"/>
      <c r="F59" s="49"/>
      <c r="G59" s="19" t="str">
        <f t="shared" si="4"/>
        <v>H:</v>
      </c>
      <c r="H59" s="19">
        <v>1800</v>
      </c>
      <c r="I59" s="20" t="str">
        <f t="shared" si="5"/>
        <v>W:</v>
      </c>
      <c r="J59" s="20">
        <v>200</v>
      </c>
      <c r="K59" s="21" t="str">
        <f t="shared" si="6"/>
        <v/>
      </c>
      <c r="L59" s="21"/>
      <c r="M59" s="22"/>
      <c r="N59" s="23" t="s">
        <v>186</v>
      </c>
      <c r="O59" s="24"/>
      <c r="P59" s="50"/>
      <c r="Q59" s="26" t="str">
        <f t="shared" si="7"/>
        <v>Puerta Plena  / H:1800W:200 mm</v>
      </c>
      <c r="T59" s="51" t="s">
        <v>103</v>
      </c>
    </row>
    <row r="60" spans="1:50" ht="20" customHeight="1" outlineLevel="1" x14ac:dyDescent="0.65">
      <c r="A60" s="14">
        <v>42</v>
      </c>
      <c r="B60" s="15" t="str">
        <f t="shared" si="3"/>
        <v>1840PuP</v>
      </c>
      <c r="C60" s="16" t="s">
        <v>184</v>
      </c>
      <c r="D60" s="48" t="s">
        <v>187</v>
      </c>
      <c r="E60" s="49"/>
      <c r="F60" s="49"/>
      <c r="G60" s="19" t="str">
        <f t="shared" si="4"/>
        <v>H:</v>
      </c>
      <c r="H60" s="19">
        <v>1800</v>
      </c>
      <c r="I60" s="20" t="str">
        <f t="shared" si="5"/>
        <v>W:</v>
      </c>
      <c r="J60" s="20">
        <v>400</v>
      </c>
      <c r="K60" s="21" t="str">
        <f t="shared" si="6"/>
        <v/>
      </c>
      <c r="L60" s="21"/>
      <c r="M60" s="22"/>
      <c r="N60" s="23" t="s">
        <v>186</v>
      </c>
      <c r="O60" s="24"/>
      <c r="P60" s="50"/>
      <c r="Q60" s="26" t="str">
        <f t="shared" si="7"/>
        <v>Puerta Plena  / H:1800W:400 mm</v>
      </c>
    </row>
    <row r="61" spans="1:50" ht="20" customHeight="1" outlineLevel="1" x14ac:dyDescent="0.65">
      <c r="A61" s="14">
        <v>43</v>
      </c>
      <c r="B61" s="15" t="str">
        <f t="shared" si="3"/>
        <v>1872PuP</v>
      </c>
      <c r="C61" s="16" t="s">
        <v>184</v>
      </c>
      <c r="D61" s="48" t="s">
        <v>188</v>
      </c>
      <c r="E61" s="49"/>
      <c r="F61" s="49"/>
      <c r="G61" s="19" t="str">
        <f t="shared" si="4"/>
        <v>H:</v>
      </c>
      <c r="H61" s="19">
        <v>1800</v>
      </c>
      <c r="I61" s="20" t="str">
        <f t="shared" si="5"/>
        <v>W:</v>
      </c>
      <c r="J61" s="20">
        <v>720</v>
      </c>
      <c r="K61" s="21" t="str">
        <f t="shared" si="6"/>
        <v/>
      </c>
      <c r="L61" s="21"/>
      <c r="M61" s="22"/>
      <c r="N61" s="23" t="s">
        <v>186</v>
      </c>
      <c r="O61" s="24"/>
      <c r="P61" s="50"/>
      <c r="Q61" s="26" t="str">
        <f t="shared" si="7"/>
        <v>Puerta Plena  / H:1800W:720 mm</v>
      </c>
    </row>
    <row r="62" spans="1:50" ht="20" customHeight="1" outlineLevel="1" x14ac:dyDescent="0.65">
      <c r="A62" s="14">
        <v>44</v>
      </c>
      <c r="B62" s="15" t="str">
        <f t="shared" si="3"/>
        <v>2020PuP</v>
      </c>
      <c r="C62" s="16" t="s">
        <v>184</v>
      </c>
      <c r="D62" s="48" t="s">
        <v>189</v>
      </c>
      <c r="E62" s="49"/>
      <c r="F62" s="49"/>
      <c r="G62" s="19" t="str">
        <f t="shared" si="4"/>
        <v>H:</v>
      </c>
      <c r="H62" s="19">
        <v>2000</v>
      </c>
      <c r="I62" s="20" t="str">
        <f t="shared" si="5"/>
        <v>W:</v>
      </c>
      <c r="J62" s="20">
        <v>200</v>
      </c>
      <c r="K62" s="21" t="str">
        <f t="shared" si="6"/>
        <v/>
      </c>
      <c r="L62" s="21"/>
      <c r="M62" s="22"/>
      <c r="N62" s="23" t="s">
        <v>186</v>
      </c>
      <c r="O62" s="24"/>
      <c r="P62" s="50"/>
      <c r="Q62" s="26" t="str">
        <f t="shared" si="7"/>
        <v>Puerta Plena  / H:2000W:200 mm</v>
      </c>
    </row>
    <row r="63" spans="1:50" ht="20" customHeight="1" outlineLevel="1" x14ac:dyDescent="0.65">
      <c r="A63" s="14">
        <v>45</v>
      </c>
      <c r="B63" s="15" t="str">
        <f t="shared" si="3"/>
        <v>2040PuP</v>
      </c>
      <c r="C63" s="16" t="s">
        <v>184</v>
      </c>
      <c r="D63" s="48" t="s">
        <v>190</v>
      </c>
      <c r="E63" s="49"/>
      <c r="F63" s="49"/>
      <c r="G63" s="19" t="str">
        <f t="shared" si="4"/>
        <v>H:</v>
      </c>
      <c r="H63" s="19">
        <v>2000</v>
      </c>
      <c r="I63" s="20" t="str">
        <f t="shared" si="5"/>
        <v>W:</v>
      </c>
      <c r="J63" s="20">
        <v>400</v>
      </c>
      <c r="K63" s="21" t="str">
        <f t="shared" si="6"/>
        <v/>
      </c>
      <c r="L63" s="21"/>
      <c r="M63" s="22"/>
      <c r="N63" s="23" t="s">
        <v>186</v>
      </c>
      <c r="O63" s="24"/>
      <c r="P63" s="50"/>
      <c r="Q63" s="26" t="str">
        <f t="shared" si="7"/>
        <v>Puerta Plena  / H:2000W:400 mm</v>
      </c>
    </row>
    <row r="64" spans="1:50" ht="20" customHeight="1" outlineLevel="1" x14ac:dyDescent="0.65">
      <c r="A64" s="14">
        <v>46</v>
      </c>
      <c r="B64" s="15" t="str">
        <f t="shared" si="3"/>
        <v>2072PuP</v>
      </c>
      <c r="C64" s="16" t="s">
        <v>184</v>
      </c>
      <c r="D64" s="48" t="s">
        <v>191</v>
      </c>
      <c r="E64" s="49"/>
      <c r="F64" s="49"/>
      <c r="G64" s="19" t="str">
        <f t="shared" si="4"/>
        <v>H:</v>
      </c>
      <c r="H64" s="19">
        <v>2000</v>
      </c>
      <c r="I64" s="20" t="str">
        <f t="shared" si="5"/>
        <v>W:</v>
      </c>
      <c r="J64" s="20">
        <v>720</v>
      </c>
      <c r="K64" s="21" t="str">
        <f t="shared" si="6"/>
        <v/>
      </c>
      <c r="L64" s="21"/>
      <c r="M64" s="22"/>
      <c r="N64" s="23" t="s">
        <v>186</v>
      </c>
      <c r="O64" s="24"/>
      <c r="P64" s="50"/>
      <c r="Q64" s="26" t="str">
        <f t="shared" si="7"/>
        <v>Puerta Plena  / H:2000W:720 mm</v>
      </c>
    </row>
    <row r="65" spans="1:17" ht="20" customHeight="1" outlineLevel="1" x14ac:dyDescent="0.65">
      <c r="A65" s="14">
        <v>47</v>
      </c>
      <c r="B65" s="15" t="str">
        <f t="shared" si="3"/>
        <v>2080PuP</v>
      </c>
      <c r="C65" s="16" t="s">
        <v>184</v>
      </c>
      <c r="D65" s="48" t="s">
        <v>192</v>
      </c>
      <c r="E65" s="49"/>
      <c r="F65" s="49"/>
      <c r="G65" s="19" t="str">
        <f t="shared" si="4"/>
        <v>H:</v>
      </c>
      <c r="H65" s="19">
        <v>2000</v>
      </c>
      <c r="I65" s="20" t="str">
        <f t="shared" si="5"/>
        <v>W:</v>
      </c>
      <c r="J65" s="20">
        <v>800</v>
      </c>
      <c r="K65" s="21" t="str">
        <f t="shared" si="6"/>
        <v/>
      </c>
      <c r="L65" s="21"/>
      <c r="M65" s="22"/>
      <c r="N65" s="23" t="s">
        <v>186</v>
      </c>
      <c r="O65" s="24"/>
      <c r="P65" s="50"/>
      <c r="Q65" s="26" t="str">
        <f t="shared" si="7"/>
        <v>Puerta Plena  / H:2000W:800 mm</v>
      </c>
    </row>
    <row r="66" spans="1:17" ht="20" customHeight="1" outlineLevel="1" x14ac:dyDescent="0.65">
      <c r="A66" s="14">
        <v>48</v>
      </c>
      <c r="B66" s="15" t="str">
        <f t="shared" si="3"/>
        <v>2220PuP</v>
      </c>
      <c r="C66" s="16" t="s">
        <v>184</v>
      </c>
      <c r="D66" s="48" t="s">
        <v>193</v>
      </c>
      <c r="E66" s="49"/>
      <c r="F66" s="49"/>
      <c r="G66" s="19" t="str">
        <f t="shared" si="4"/>
        <v>H:</v>
      </c>
      <c r="H66" s="19">
        <v>2200</v>
      </c>
      <c r="I66" s="20" t="str">
        <f t="shared" si="5"/>
        <v>W:</v>
      </c>
      <c r="J66" s="20">
        <v>200</v>
      </c>
      <c r="K66" s="21" t="str">
        <f t="shared" si="6"/>
        <v/>
      </c>
      <c r="L66" s="21"/>
      <c r="M66" s="22"/>
      <c r="N66" s="23" t="s">
        <v>186</v>
      </c>
      <c r="O66" s="24"/>
      <c r="P66" s="50"/>
      <c r="Q66" s="26" t="str">
        <f t="shared" si="7"/>
        <v>Puerta Plena  / H:2200W:200 mm</v>
      </c>
    </row>
    <row r="67" spans="1:17" ht="20" customHeight="1" outlineLevel="1" x14ac:dyDescent="0.65">
      <c r="A67" s="14">
        <v>49</v>
      </c>
      <c r="B67" s="15" t="str">
        <f t="shared" si="3"/>
        <v>2240PuP</v>
      </c>
      <c r="C67" s="16" t="s">
        <v>184</v>
      </c>
      <c r="D67" s="48" t="s">
        <v>194</v>
      </c>
      <c r="E67" s="49"/>
      <c r="F67" s="49"/>
      <c r="G67" s="19" t="str">
        <f t="shared" si="4"/>
        <v>H:</v>
      </c>
      <c r="H67" s="19">
        <v>2200</v>
      </c>
      <c r="I67" s="20" t="str">
        <f t="shared" si="5"/>
        <v>W:</v>
      </c>
      <c r="J67" s="20">
        <v>400</v>
      </c>
      <c r="K67" s="21" t="str">
        <f t="shared" si="6"/>
        <v/>
      </c>
      <c r="L67" s="21"/>
      <c r="M67" s="22"/>
      <c r="N67" s="23" t="s">
        <v>186</v>
      </c>
      <c r="O67" s="24"/>
      <c r="P67" s="50"/>
      <c r="Q67" s="26" t="str">
        <f t="shared" si="7"/>
        <v>Puerta Plena  / H:2200W:400 mm</v>
      </c>
    </row>
    <row r="68" spans="1:17" ht="20" customHeight="1" outlineLevel="1" x14ac:dyDescent="0.65">
      <c r="A68" s="14">
        <v>50</v>
      </c>
      <c r="B68" s="15" t="str">
        <f t="shared" si="3"/>
        <v>2272PuP</v>
      </c>
      <c r="C68" s="16" t="s">
        <v>184</v>
      </c>
      <c r="D68" s="48" t="s">
        <v>195</v>
      </c>
      <c r="E68" s="49"/>
      <c r="F68" s="49"/>
      <c r="G68" s="19" t="str">
        <f t="shared" si="4"/>
        <v>H:</v>
      </c>
      <c r="H68" s="19">
        <v>2200</v>
      </c>
      <c r="I68" s="20" t="str">
        <f t="shared" si="5"/>
        <v>W:</v>
      </c>
      <c r="J68" s="20">
        <v>720</v>
      </c>
      <c r="K68" s="21" t="str">
        <f t="shared" si="6"/>
        <v/>
      </c>
      <c r="L68" s="21"/>
      <c r="M68" s="22"/>
      <c r="N68" s="23" t="s">
        <v>186</v>
      </c>
      <c r="O68" s="24"/>
      <c r="P68" s="50"/>
      <c r="Q68" s="26" t="str">
        <f t="shared" si="7"/>
        <v>Puerta Plena  / H:2200W:720 mm</v>
      </c>
    </row>
    <row r="69" spans="1:17" ht="20" customHeight="1" outlineLevel="1" x14ac:dyDescent="0.65">
      <c r="A69" s="14">
        <v>51</v>
      </c>
      <c r="B69" s="15" t="str">
        <f t="shared" si="3"/>
        <v>2280PuP</v>
      </c>
      <c r="C69" s="16" t="s">
        <v>184</v>
      </c>
      <c r="D69" s="48" t="s">
        <v>196</v>
      </c>
      <c r="E69" s="49"/>
      <c r="F69" s="49"/>
      <c r="G69" s="19" t="str">
        <f t="shared" si="4"/>
        <v>H:</v>
      </c>
      <c r="H69" s="19">
        <v>2200</v>
      </c>
      <c r="I69" s="20" t="str">
        <f t="shared" si="5"/>
        <v>W:</v>
      </c>
      <c r="J69" s="20">
        <v>800</v>
      </c>
      <c r="K69" s="21" t="str">
        <f t="shared" si="6"/>
        <v/>
      </c>
      <c r="L69" s="21"/>
      <c r="M69" s="22"/>
      <c r="N69" s="23" t="s">
        <v>186</v>
      </c>
      <c r="O69" s="24"/>
      <c r="P69" s="50"/>
      <c r="Q69" s="26" t="str">
        <f t="shared" si="7"/>
        <v>Puerta Plena  / H:2200W:800 mm</v>
      </c>
    </row>
    <row r="70" spans="1:17" ht="20" customHeight="1" outlineLevel="1" x14ac:dyDescent="0.65">
      <c r="A70" s="14">
        <v>52</v>
      </c>
      <c r="B70" s="15" t="str">
        <f t="shared" si="3"/>
        <v>1840PuCS_SE</v>
      </c>
      <c r="C70" s="16" t="s">
        <v>184</v>
      </c>
      <c r="D70" s="52" t="s">
        <v>197</v>
      </c>
      <c r="E70" s="49"/>
      <c r="F70" s="49"/>
      <c r="G70" s="19" t="str">
        <f t="shared" si="4"/>
        <v>H:</v>
      </c>
      <c r="H70" s="19">
        <v>1800</v>
      </c>
      <c r="I70" s="20" t="str">
        <f t="shared" si="5"/>
        <v>W:</v>
      </c>
      <c r="J70" s="20">
        <v>400</v>
      </c>
      <c r="K70" s="21" t="str">
        <f t="shared" si="6"/>
        <v/>
      </c>
      <c r="L70" s="21"/>
      <c r="M70" s="22"/>
      <c r="N70" s="23" t="s">
        <v>198</v>
      </c>
      <c r="O70" s="24" t="s">
        <v>39</v>
      </c>
      <c r="P70" s="53" t="s">
        <v>199</v>
      </c>
      <c r="Q70" s="26" t="str">
        <f t="shared" si="7"/>
        <v>Puerta Corte Sencillo_SE223*223 / H:1800W:400 mm</v>
      </c>
    </row>
    <row r="71" spans="1:17" ht="20" customHeight="1" outlineLevel="1" x14ac:dyDescent="0.65">
      <c r="A71" s="14">
        <v>53</v>
      </c>
      <c r="B71" s="15" t="str">
        <f t="shared" si="3"/>
        <v>1872PuCS_SE</v>
      </c>
      <c r="C71" s="16" t="s">
        <v>184</v>
      </c>
      <c r="D71" s="54" t="s">
        <v>200</v>
      </c>
      <c r="E71" s="49"/>
      <c r="F71" s="49"/>
      <c r="G71" s="19" t="str">
        <f t="shared" si="4"/>
        <v>H:</v>
      </c>
      <c r="H71" s="19">
        <v>1800</v>
      </c>
      <c r="I71" s="20" t="str">
        <f t="shared" si="5"/>
        <v>W:</v>
      </c>
      <c r="J71" s="20">
        <v>720</v>
      </c>
      <c r="K71" s="21" t="str">
        <f t="shared" si="6"/>
        <v/>
      </c>
      <c r="L71" s="21"/>
      <c r="M71" s="22"/>
      <c r="N71" s="23" t="s">
        <v>198</v>
      </c>
      <c r="O71" s="24" t="s">
        <v>39</v>
      </c>
      <c r="P71" s="53" t="s">
        <v>199</v>
      </c>
      <c r="Q71" s="26" t="str">
        <f t="shared" si="7"/>
        <v>Puerta Corte Sencillo_SE223*223 / H:1800W:720 mm</v>
      </c>
    </row>
    <row r="72" spans="1:17" ht="20" customHeight="1" outlineLevel="1" x14ac:dyDescent="0.65">
      <c r="A72" s="14">
        <v>54</v>
      </c>
      <c r="B72" s="15" t="str">
        <f t="shared" si="3"/>
        <v>2040PuCS_SE</v>
      </c>
      <c r="C72" s="16" t="s">
        <v>184</v>
      </c>
      <c r="D72" s="54" t="s">
        <v>201</v>
      </c>
      <c r="E72" s="49"/>
      <c r="F72" s="49"/>
      <c r="G72" s="19" t="str">
        <f t="shared" si="4"/>
        <v>H:</v>
      </c>
      <c r="H72" s="19">
        <v>2000</v>
      </c>
      <c r="I72" s="20" t="str">
        <f t="shared" si="5"/>
        <v>W:</v>
      </c>
      <c r="J72" s="20">
        <v>400</v>
      </c>
      <c r="K72" s="21" t="str">
        <f t="shared" si="6"/>
        <v/>
      </c>
      <c r="L72" s="21"/>
      <c r="M72" s="22"/>
      <c r="N72" s="23" t="s">
        <v>198</v>
      </c>
      <c r="O72" s="24" t="s">
        <v>39</v>
      </c>
      <c r="P72" s="53" t="s">
        <v>199</v>
      </c>
      <c r="Q72" s="26" t="str">
        <f t="shared" si="7"/>
        <v>Puerta Corte Sencillo_SE223*223 / H:2000W:400 mm</v>
      </c>
    </row>
    <row r="73" spans="1:17" ht="20" customHeight="1" outlineLevel="1" x14ac:dyDescent="0.65">
      <c r="A73" s="14">
        <v>55</v>
      </c>
      <c r="B73" s="15" t="str">
        <f t="shared" si="3"/>
        <v>2072PuCS_SE</v>
      </c>
      <c r="C73" s="16" t="s">
        <v>184</v>
      </c>
      <c r="D73" s="54" t="s">
        <v>202</v>
      </c>
      <c r="E73" s="49"/>
      <c r="F73" s="49"/>
      <c r="G73" s="19" t="str">
        <f t="shared" si="4"/>
        <v>H:</v>
      </c>
      <c r="H73" s="19">
        <v>2000</v>
      </c>
      <c r="I73" s="20" t="str">
        <f t="shared" si="5"/>
        <v>W:</v>
      </c>
      <c r="J73" s="20">
        <v>720</v>
      </c>
      <c r="K73" s="21" t="str">
        <f t="shared" si="6"/>
        <v/>
      </c>
      <c r="L73" s="21"/>
      <c r="M73" s="22"/>
      <c r="N73" s="23" t="s">
        <v>198</v>
      </c>
      <c r="O73" s="24" t="s">
        <v>39</v>
      </c>
      <c r="P73" s="53" t="s">
        <v>199</v>
      </c>
      <c r="Q73" s="26" t="str">
        <f t="shared" si="7"/>
        <v>Puerta Corte Sencillo_SE223*223 / H:2000W:720 mm</v>
      </c>
    </row>
    <row r="74" spans="1:17" ht="20" customHeight="1" outlineLevel="1" x14ac:dyDescent="0.65">
      <c r="A74" s="14">
        <v>56</v>
      </c>
      <c r="B74" s="15" t="str">
        <f t="shared" si="3"/>
        <v>2080PuCS_SE</v>
      </c>
      <c r="C74" s="16" t="s">
        <v>184</v>
      </c>
      <c r="D74" s="54" t="s">
        <v>203</v>
      </c>
      <c r="E74" s="49"/>
      <c r="F74" s="49"/>
      <c r="G74" s="19" t="str">
        <f t="shared" si="4"/>
        <v>H:</v>
      </c>
      <c r="H74" s="19">
        <v>2000</v>
      </c>
      <c r="I74" s="20" t="str">
        <f t="shared" si="5"/>
        <v>W:</v>
      </c>
      <c r="J74" s="20">
        <v>800</v>
      </c>
      <c r="K74" s="21" t="str">
        <f t="shared" si="6"/>
        <v/>
      </c>
      <c r="L74" s="21"/>
      <c r="M74" s="22"/>
      <c r="N74" s="23" t="s">
        <v>198</v>
      </c>
      <c r="O74" s="24" t="s">
        <v>39</v>
      </c>
      <c r="P74" s="53" t="s">
        <v>199</v>
      </c>
      <c r="Q74" s="26" t="str">
        <f t="shared" si="7"/>
        <v>Puerta Corte Sencillo_SE223*223 / H:2000W:800 mm</v>
      </c>
    </row>
    <row r="75" spans="1:17" ht="20" customHeight="1" outlineLevel="1" x14ac:dyDescent="0.65">
      <c r="A75" s="14">
        <v>57</v>
      </c>
      <c r="B75" s="15" t="str">
        <f t="shared" si="3"/>
        <v>2240PuCS_SE</v>
      </c>
      <c r="C75" s="16" t="s">
        <v>184</v>
      </c>
      <c r="D75" s="54" t="s">
        <v>204</v>
      </c>
      <c r="E75" s="49"/>
      <c r="F75" s="49"/>
      <c r="G75" s="19" t="str">
        <f t="shared" si="4"/>
        <v>H:</v>
      </c>
      <c r="H75" s="19">
        <v>2200</v>
      </c>
      <c r="I75" s="20" t="str">
        <f t="shared" si="5"/>
        <v>W:</v>
      </c>
      <c r="J75" s="20">
        <v>400</v>
      </c>
      <c r="K75" s="21" t="str">
        <f t="shared" si="6"/>
        <v/>
      </c>
      <c r="L75" s="21"/>
      <c r="M75" s="22"/>
      <c r="N75" s="23" t="s">
        <v>198</v>
      </c>
      <c r="O75" s="24" t="s">
        <v>39</v>
      </c>
      <c r="P75" s="53" t="s">
        <v>199</v>
      </c>
      <c r="Q75" s="26" t="str">
        <f t="shared" si="7"/>
        <v>Puerta Corte Sencillo_SE223*223 / H:2200W:400 mm</v>
      </c>
    </row>
    <row r="76" spans="1:17" ht="20" customHeight="1" outlineLevel="1" x14ac:dyDescent="0.65">
      <c r="A76" s="14">
        <v>58</v>
      </c>
      <c r="B76" s="15" t="str">
        <f t="shared" si="3"/>
        <v>2272PuCS_SE</v>
      </c>
      <c r="C76" s="16" t="s">
        <v>184</v>
      </c>
      <c r="D76" s="54" t="s">
        <v>205</v>
      </c>
      <c r="E76" s="49"/>
      <c r="F76" s="49"/>
      <c r="G76" s="19" t="str">
        <f t="shared" si="4"/>
        <v>H:</v>
      </c>
      <c r="H76" s="19">
        <v>2200</v>
      </c>
      <c r="I76" s="20" t="str">
        <f t="shared" si="5"/>
        <v>W:</v>
      </c>
      <c r="J76" s="20">
        <v>720</v>
      </c>
      <c r="K76" s="21" t="str">
        <f t="shared" si="6"/>
        <v/>
      </c>
      <c r="L76" s="21"/>
      <c r="M76" s="22"/>
      <c r="N76" s="23" t="s">
        <v>198</v>
      </c>
      <c r="O76" s="24" t="s">
        <v>39</v>
      </c>
      <c r="P76" s="53" t="s">
        <v>199</v>
      </c>
      <c r="Q76" s="26" t="str">
        <f t="shared" si="7"/>
        <v>Puerta Corte Sencillo_SE223*223 / H:2200W:720 mm</v>
      </c>
    </row>
    <row r="77" spans="1:17" ht="20" customHeight="1" outlineLevel="1" x14ac:dyDescent="0.65">
      <c r="A77" s="14">
        <v>59</v>
      </c>
      <c r="B77" s="15" t="str">
        <f t="shared" si="3"/>
        <v>2280PuCS_SE</v>
      </c>
      <c r="C77" s="16" t="s">
        <v>184</v>
      </c>
      <c r="D77" s="54" t="s">
        <v>206</v>
      </c>
      <c r="E77" s="49"/>
      <c r="F77" s="49"/>
      <c r="G77" s="19" t="str">
        <f t="shared" si="4"/>
        <v>H:</v>
      </c>
      <c r="H77" s="19">
        <v>2200</v>
      </c>
      <c r="I77" s="20" t="str">
        <f t="shared" si="5"/>
        <v>W:</v>
      </c>
      <c r="J77" s="20">
        <v>800</v>
      </c>
      <c r="K77" s="21" t="str">
        <f t="shared" si="6"/>
        <v/>
      </c>
      <c r="L77" s="21"/>
      <c r="M77" s="22"/>
      <c r="N77" s="23" t="s">
        <v>198</v>
      </c>
      <c r="O77" s="24" t="s">
        <v>39</v>
      </c>
      <c r="P77" s="53" t="s">
        <v>199</v>
      </c>
      <c r="Q77" s="26" t="str">
        <f t="shared" si="7"/>
        <v>Puerta Corte Sencillo_SE223*223 / H:2200W:800 mm</v>
      </c>
    </row>
    <row r="78" spans="1:17" ht="20" customHeight="1" outlineLevel="1" x14ac:dyDescent="0.65">
      <c r="A78" s="14">
        <v>60</v>
      </c>
      <c r="B78" s="15" t="str">
        <f t="shared" si="3"/>
        <v>1840PuCS_NG</v>
      </c>
      <c r="C78" s="16" t="s">
        <v>184</v>
      </c>
      <c r="D78" s="54" t="s">
        <v>207</v>
      </c>
      <c r="E78" s="49"/>
      <c r="F78" s="49"/>
      <c r="G78" s="19" t="str">
        <f t="shared" si="4"/>
        <v>H:</v>
      </c>
      <c r="H78" s="19">
        <v>1800</v>
      </c>
      <c r="I78" s="20" t="str">
        <f t="shared" si="5"/>
        <v>W:</v>
      </c>
      <c r="J78" s="20">
        <v>400</v>
      </c>
      <c r="K78" s="21" t="str">
        <f t="shared" si="6"/>
        <v/>
      </c>
      <c r="L78" s="21"/>
      <c r="M78" s="22"/>
      <c r="N78" s="23" t="s">
        <v>198</v>
      </c>
      <c r="O78" s="24" t="s">
        <v>39</v>
      </c>
      <c r="P78" s="53" t="s">
        <v>208</v>
      </c>
      <c r="Q78" s="26" t="str">
        <f t="shared" si="7"/>
        <v>Puerta Corte Sencillo_NG-229*229 / H:1800W:400 mm</v>
      </c>
    </row>
    <row r="79" spans="1:17" ht="20" customHeight="1" outlineLevel="1" x14ac:dyDescent="0.65">
      <c r="A79" s="14">
        <v>61</v>
      </c>
      <c r="B79" s="15" t="str">
        <f t="shared" si="3"/>
        <v>1872PuCS_NG</v>
      </c>
      <c r="C79" s="16" t="s">
        <v>184</v>
      </c>
      <c r="D79" s="54" t="s">
        <v>209</v>
      </c>
      <c r="E79" s="49"/>
      <c r="F79" s="49"/>
      <c r="G79" s="19" t="str">
        <f t="shared" si="4"/>
        <v>H:</v>
      </c>
      <c r="H79" s="19">
        <v>1800</v>
      </c>
      <c r="I79" s="20" t="str">
        <f t="shared" si="5"/>
        <v>W:</v>
      </c>
      <c r="J79" s="20">
        <v>720</v>
      </c>
      <c r="K79" s="21" t="str">
        <f t="shared" si="6"/>
        <v/>
      </c>
      <c r="L79" s="21"/>
      <c r="M79" s="22"/>
      <c r="N79" s="23" t="s">
        <v>198</v>
      </c>
      <c r="O79" s="24" t="s">
        <v>39</v>
      </c>
      <c r="P79" s="53" t="s">
        <v>208</v>
      </c>
      <c r="Q79" s="26" t="str">
        <f t="shared" si="7"/>
        <v>Puerta Corte Sencillo_NG-229*229 / H:1800W:720 mm</v>
      </c>
    </row>
    <row r="80" spans="1:17" ht="20" customHeight="1" outlineLevel="1" x14ac:dyDescent="0.65">
      <c r="A80" s="14">
        <v>62</v>
      </c>
      <c r="B80" s="15" t="str">
        <f t="shared" si="3"/>
        <v>2040PuCS_NG</v>
      </c>
      <c r="C80" s="16" t="s">
        <v>184</v>
      </c>
      <c r="D80" s="54" t="s">
        <v>210</v>
      </c>
      <c r="E80" s="49"/>
      <c r="F80" s="49"/>
      <c r="G80" s="19" t="str">
        <f t="shared" si="4"/>
        <v>H:</v>
      </c>
      <c r="H80" s="19">
        <v>2000</v>
      </c>
      <c r="I80" s="20" t="str">
        <f t="shared" si="5"/>
        <v>W:</v>
      </c>
      <c r="J80" s="20">
        <v>400</v>
      </c>
      <c r="K80" s="21" t="str">
        <f t="shared" si="6"/>
        <v/>
      </c>
      <c r="L80" s="21"/>
      <c r="M80" s="22"/>
      <c r="N80" s="23" t="s">
        <v>198</v>
      </c>
      <c r="O80" s="24" t="s">
        <v>39</v>
      </c>
      <c r="P80" s="53" t="s">
        <v>208</v>
      </c>
      <c r="Q80" s="26" t="str">
        <f t="shared" si="7"/>
        <v>Puerta Corte Sencillo_NG-229*229 / H:2000W:400 mm</v>
      </c>
    </row>
    <row r="81" spans="1:17" ht="20" customHeight="1" outlineLevel="1" x14ac:dyDescent="0.65">
      <c r="A81" s="14">
        <v>63</v>
      </c>
      <c r="B81" s="15" t="str">
        <f t="shared" si="3"/>
        <v>2072PuCS_NG</v>
      </c>
      <c r="C81" s="16" t="s">
        <v>184</v>
      </c>
      <c r="D81" s="54" t="s">
        <v>211</v>
      </c>
      <c r="E81" s="49"/>
      <c r="F81" s="49"/>
      <c r="G81" s="19" t="str">
        <f t="shared" si="4"/>
        <v>H:</v>
      </c>
      <c r="H81" s="19">
        <v>2000</v>
      </c>
      <c r="I81" s="20" t="str">
        <f t="shared" si="5"/>
        <v>W:</v>
      </c>
      <c r="J81" s="20">
        <v>720</v>
      </c>
      <c r="K81" s="21" t="str">
        <f t="shared" si="6"/>
        <v/>
      </c>
      <c r="L81" s="21"/>
      <c r="M81" s="22"/>
      <c r="N81" s="23" t="s">
        <v>198</v>
      </c>
      <c r="O81" s="24" t="s">
        <v>39</v>
      </c>
      <c r="P81" s="53" t="s">
        <v>208</v>
      </c>
      <c r="Q81" s="26" t="str">
        <f t="shared" si="7"/>
        <v>Puerta Corte Sencillo_NG-229*229 / H:2000W:720 mm</v>
      </c>
    </row>
    <row r="82" spans="1:17" ht="20" customHeight="1" outlineLevel="1" x14ac:dyDescent="0.65">
      <c r="A82" s="14">
        <v>64</v>
      </c>
      <c r="B82" s="15" t="str">
        <f t="shared" si="3"/>
        <v>2080PuCS_NG</v>
      </c>
      <c r="C82" s="16" t="s">
        <v>184</v>
      </c>
      <c r="D82" s="54" t="s">
        <v>212</v>
      </c>
      <c r="E82" s="49"/>
      <c r="F82" s="49"/>
      <c r="G82" s="19" t="str">
        <f t="shared" si="4"/>
        <v>H:</v>
      </c>
      <c r="H82" s="19">
        <v>2000</v>
      </c>
      <c r="I82" s="20" t="str">
        <f t="shared" si="5"/>
        <v>W:</v>
      </c>
      <c r="J82" s="20">
        <v>800</v>
      </c>
      <c r="K82" s="21" t="str">
        <f t="shared" si="6"/>
        <v/>
      </c>
      <c r="L82" s="21"/>
      <c r="M82" s="22"/>
      <c r="N82" s="23" t="s">
        <v>198</v>
      </c>
      <c r="O82" s="24" t="s">
        <v>39</v>
      </c>
      <c r="P82" s="53" t="s">
        <v>208</v>
      </c>
      <c r="Q82" s="26" t="str">
        <f t="shared" si="7"/>
        <v>Puerta Corte Sencillo_NG-229*229 / H:2000W:800 mm</v>
      </c>
    </row>
    <row r="83" spans="1:17" ht="20" customHeight="1" outlineLevel="1" x14ac:dyDescent="0.65">
      <c r="A83" s="14">
        <v>65</v>
      </c>
      <c r="B83" s="15" t="str">
        <f t="shared" ref="B83:B146" si="31">MID(H83,1,2)&amp;MID(J83,1,2)&amp;MID(L83,1,2)&amp;MID(C83,1,2)&amp;MID(M83,1,1)&amp;MID(N83,1,1)&amp;MID(O83,1,1)&amp;MID(P83,1,3)</f>
        <v>2240PuCS_NG</v>
      </c>
      <c r="C83" s="16" t="s">
        <v>184</v>
      </c>
      <c r="D83" s="54" t="s">
        <v>213</v>
      </c>
      <c r="E83" s="49"/>
      <c r="F83" s="49"/>
      <c r="G83" s="19" t="str">
        <f t="shared" ref="G83:G146" si="32">IF(H83&lt;&gt;"","H:","")</f>
        <v>H:</v>
      </c>
      <c r="H83" s="19">
        <v>2200</v>
      </c>
      <c r="I83" s="20" t="str">
        <f t="shared" ref="I83:I146" si="33">IF(J83&lt;&gt;"","W:","")</f>
        <v>W:</v>
      </c>
      <c r="J83" s="20">
        <v>400</v>
      </c>
      <c r="K83" s="21" t="str">
        <f t="shared" ref="K83:K146" si="34">IF(L83&lt;&gt;"","D:","")</f>
        <v/>
      </c>
      <c r="L83" s="21"/>
      <c r="M83" s="22"/>
      <c r="N83" s="23" t="s">
        <v>198</v>
      </c>
      <c r="O83" s="24" t="s">
        <v>39</v>
      </c>
      <c r="P83" s="53" t="s">
        <v>208</v>
      </c>
      <c r="Q83" s="26" t="str">
        <f t="shared" ref="Q83:Q146" si="35">IF(B83&lt;&gt;"",(C83&amp;M83&amp;N83&amp;O83&amp;P83&amp;" / "&amp;G83&amp;H83&amp;I83&amp;J83&amp;K83&amp;L83&amp;" mm"),"")</f>
        <v>Puerta Corte Sencillo_NG-229*229 / H:2200W:400 mm</v>
      </c>
    </row>
    <row r="84" spans="1:17" ht="20" customHeight="1" outlineLevel="1" x14ac:dyDescent="0.65">
      <c r="A84" s="14">
        <v>66</v>
      </c>
      <c r="B84" s="15" t="str">
        <f t="shared" si="31"/>
        <v>2272PuCS_NG</v>
      </c>
      <c r="C84" s="16" t="s">
        <v>184</v>
      </c>
      <c r="D84" s="54" t="s">
        <v>214</v>
      </c>
      <c r="E84" s="49"/>
      <c r="F84" s="49"/>
      <c r="G84" s="19" t="str">
        <f t="shared" si="32"/>
        <v>H:</v>
      </c>
      <c r="H84" s="19">
        <v>2200</v>
      </c>
      <c r="I84" s="20" t="str">
        <f t="shared" si="33"/>
        <v>W:</v>
      </c>
      <c r="J84" s="20">
        <v>720</v>
      </c>
      <c r="K84" s="21" t="str">
        <f t="shared" si="34"/>
        <v/>
      </c>
      <c r="L84" s="21"/>
      <c r="M84" s="22"/>
      <c r="N84" s="23" t="s">
        <v>198</v>
      </c>
      <c r="O84" s="24" t="s">
        <v>39</v>
      </c>
      <c r="P84" s="53" t="s">
        <v>208</v>
      </c>
      <c r="Q84" s="26" t="str">
        <f t="shared" si="35"/>
        <v>Puerta Corte Sencillo_NG-229*229 / H:2200W:720 mm</v>
      </c>
    </row>
    <row r="85" spans="1:17" ht="20" customHeight="1" outlineLevel="1" x14ac:dyDescent="0.65">
      <c r="A85" s="14">
        <v>67</v>
      </c>
      <c r="B85" s="15" t="str">
        <f t="shared" si="31"/>
        <v>2280PuCS_NG</v>
      </c>
      <c r="C85" s="16" t="s">
        <v>184</v>
      </c>
      <c r="D85" s="54" t="s">
        <v>215</v>
      </c>
      <c r="E85" s="49"/>
      <c r="F85" s="49"/>
      <c r="G85" s="19" t="str">
        <f t="shared" si="32"/>
        <v>H:</v>
      </c>
      <c r="H85" s="19">
        <v>2200</v>
      </c>
      <c r="I85" s="20" t="str">
        <f t="shared" si="33"/>
        <v>W:</v>
      </c>
      <c r="J85" s="20">
        <v>800</v>
      </c>
      <c r="K85" s="21" t="str">
        <f t="shared" si="34"/>
        <v/>
      </c>
      <c r="L85" s="21"/>
      <c r="M85" s="22"/>
      <c r="N85" s="23" t="s">
        <v>198</v>
      </c>
      <c r="O85" s="24" t="s">
        <v>39</v>
      </c>
      <c r="P85" s="53" t="s">
        <v>208</v>
      </c>
      <c r="Q85" s="26" t="str">
        <f t="shared" si="35"/>
        <v>Puerta Corte Sencillo_NG-229*229 / H:2200W:800 mm</v>
      </c>
    </row>
    <row r="86" spans="1:17" ht="20" customHeight="1" outlineLevel="1" x14ac:dyDescent="0.65">
      <c r="A86" s="14">
        <v>68</v>
      </c>
      <c r="B86" s="15" t="str">
        <f t="shared" si="31"/>
        <v>1840PuCS_NM</v>
      </c>
      <c r="C86" s="16" t="s">
        <v>184</v>
      </c>
      <c r="D86" s="54" t="s">
        <v>216</v>
      </c>
      <c r="E86" s="49"/>
      <c r="F86" s="49"/>
      <c r="G86" s="19" t="str">
        <f t="shared" si="32"/>
        <v>H:</v>
      </c>
      <c r="H86" s="19">
        <v>1800</v>
      </c>
      <c r="I86" s="20" t="str">
        <f t="shared" si="33"/>
        <v>W:</v>
      </c>
      <c r="J86" s="20">
        <v>400</v>
      </c>
      <c r="K86" s="21" t="str">
        <f t="shared" si="34"/>
        <v/>
      </c>
      <c r="L86" s="21"/>
      <c r="M86" s="22"/>
      <c r="N86" s="23" t="s">
        <v>198</v>
      </c>
      <c r="O86" s="24" t="s">
        <v>39</v>
      </c>
      <c r="P86" s="53" t="s">
        <v>217</v>
      </c>
      <c r="Q86" s="26" t="str">
        <f t="shared" si="35"/>
        <v>Puerta Corte Sencillo_NM-180*180 / H:1800W:400 mm</v>
      </c>
    </row>
    <row r="87" spans="1:17" ht="20" customHeight="1" outlineLevel="1" x14ac:dyDescent="0.65">
      <c r="A87" s="14">
        <v>69</v>
      </c>
      <c r="B87" s="15" t="str">
        <f t="shared" si="31"/>
        <v>1872PuCS_NM</v>
      </c>
      <c r="C87" s="16" t="s">
        <v>184</v>
      </c>
      <c r="D87" s="54" t="s">
        <v>218</v>
      </c>
      <c r="E87" s="49"/>
      <c r="F87" s="49"/>
      <c r="G87" s="19" t="str">
        <f t="shared" si="32"/>
        <v>H:</v>
      </c>
      <c r="H87" s="19">
        <v>1800</v>
      </c>
      <c r="I87" s="20" t="str">
        <f t="shared" si="33"/>
        <v>W:</v>
      </c>
      <c r="J87" s="20">
        <v>720</v>
      </c>
      <c r="K87" s="21" t="str">
        <f t="shared" si="34"/>
        <v/>
      </c>
      <c r="L87" s="21"/>
      <c r="M87" s="22"/>
      <c r="N87" s="23" t="s">
        <v>198</v>
      </c>
      <c r="O87" s="24" t="s">
        <v>39</v>
      </c>
      <c r="P87" s="53" t="s">
        <v>217</v>
      </c>
      <c r="Q87" s="26" t="str">
        <f t="shared" si="35"/>
        <v>Puerta Corte Sencillo_NM-180*180 / H:1800W:720 mm</v>
      </c>
    </row>
    <row r="88" spans="1:17" ht="20" customHeight="1" outlineLevel="1" x14ac:dyDescent="0.65">
      <c r="A88" s="14">
        <v>70</v>
      </c>
      <c r="B88" s="15" t="str">
        <f t="shared" si="31"/>
        <v>2040PuCS_NM</v>
      </c>
      <c r="C88" s="16" t="s">
        <v>184</v>
      </c>
      <c r="D88" s="54" t="s">
        <v>219</v>
      </c>
      <c r="E88" s="49"/>
      <c r="F88" s="49"/>
      <c r="G88" s="19" t="str">
        <f t="shared" si="32"/>
        <v>H:</v>
      </c>
      <c r="H88" s="19">
        <v>2000</v>
      </c>
      <c r="I88" s="20" t="str">
        <f t="shared" si="33"/>
        <v>W:</v>
      </c>
      <c r="J88" s="20">
        <v>400</v>
      </c>
      <c r="K88" s="21" t="str">
        <f t="shared" si="34"/>
        <v/>
      </c>
      <c r="L88" s="21"/>
      <c r="M88" s="22"/>
      <c r="N88" s="23" t="s">
        <v>198</v>
      </c>
      <c r="O88" s="24" t="s">
        <v>39</v>
      </c>
      <c r="P88" s="53" t="s">
        <v>217</v>
      </c>
      <c r="Q88" s="26" t="str">
        <f t="shared" si="35"/>
        <v>Puerta Corte Sencillo_NM-180*180 / H:2000W:400 mm</v>
      </c>
    </row>
    <row r="89" spans="1:17" ht="20" customHeight="1" outlineLevel="1" x14ac:dyDescent="0.65">
      <c r="A89" s="14">
        <v>71</v>
      </c>
      <c r="B89" s="15" t="str">
        <f t="shared" si="31"/>
        <v>2072PuCS_NM</v>
      </c>
      <c r="C89" s="16" t="s">
        <v>184</v>
      </c>
      <c r="D89" s="54" t="s">
        <v>220</v>
      </c>
      <c r="E89" s="49"/>
      <c r="F89" s="49"/>
      <c r="G89" s="19" t="str">
        <f t="shared" si="32"/>
        <v>H:</v>
      </c>
      <c r="H89" s="19">
        <v>2000</v>
      </c>
      <c r="I89" s="20" t="str">
        <f t="shared" si="33"/>
        <v>W:</v>
      </c>
      <c r="J89" s="20">
        <v>720</v>
      </c>
      <c r="K89" s="21" t="str">
        <f t="shared" si="34"/>
        <v/>
      </c>
      <c r="L89" s="21"/>
      <c r="M89" s="22"/>
      <c r="N89" s="23" t="s">
        <v>198</v>
      </c>
      <c r="O89" s="24" t="s">
        <v>39</v>
      </c>
      <c r="P89" s="53" t="s">
        <v>217</v>
      </c>
      <c r="Q89" s="26" t="str">
        <f t="shared" si="35"/>
        <v>Puerta Corte Sencillo_NM-180*180 / H:2000W:720 mm</v>
      </c>
    </row>
    <row r="90" spans="1:17" ht="20" customHeight="1" outlineLevel="1" x14ac:dyDescent="0.65">
      <c r="A90" s="14">
        <v>72</v>
      </c>
      <c r="B90" s="15" t="str">
        <f t="shared" si="31"/>
        <v>2080PuCS_NM</v>
      </c>
      <c r="C90" s="16" t="s">
        <v>184</v>
      </c>
      <c r="D90" s="54" t="s">
        <v>221</v>
      </c>
      <c r="E90" s="49"/>
      <c r="F90" s="49"/>
      <c r="G90" s="19" t="str">
        <f t="shared" si="32"/>
        <v>H:</v>
      </c>
      <c r="H90" s="19">
        <v>2000</v>
      </c>
      <c r="I90" s="20" t="str">
        <f t="shared" si="33"/>
        <v>W:</v>
      </c>
      <c r="J90" s="20">
        <v>800</v>
      </c>
      <c r="K90" s="21" t="str">
        <f t="shared" si="34"/>
        <v/>
      </c>
      <c r="L90" s="21"/>
      <c r="M90" s="22"/>
      <c r="N90" s="23" t="s">
        <v>198</v>
      </c>
      <c r="O90" s="24" t="s">
        <v>39</v>
      </c>
      <c r="P90" s="53" t="s">
        <v>217</v>
      </c>
      <c r="Q90" s="26" t="str">
        <f t="shared" si="35"/>
        <v>Puerta Corte Sencillo_NM-180*180 / H:2000W:800 mm</v>
      </c>
    </row>
    <row r="91" spans="1:17" ht="20" customHeight="1" outlineLevel="1" x14ac:dyDescent="0.65">
      <c r="A91" s="14">
        <v>73</v>
      </c>
      <c r="B91" s="15" t="str">
        <f t="shared" si="31"/>
        <v>2240PuCS_NM</v>
      </c>
      <c r="C91" s="16" t="s">
        <v>184</v>
      </c>
      <c r="D91" s="54" t="s">
        <v>222</v>
      </c>
      <c r="E91" s="49"/>
      <c r="F91" s="49"/>
      <c r="G91" s="19" t="str">
        <f t="shared" si="32"/>
        <v>H:</v>
      </c>
      <c r="H91" s="19">
        <v>2200</v>
      </c>
      <c r="I91" s="20" t="str">
        <f t="shared" si="33"/>
        <v>W:</v>
      </c>
      <c r="J91" s="20">
        <v>400</v>
      </c>
      <c r="K91" s="21" t="str">
        <f t="shared" si="34"/>
        <v/>
      </c>
      <c r="L91" s="21"/>
      <c r="M91" s="22"/>
      <c r="N91" s="23" t="s">
        <v>198</v>
      </c>
      <c r="O91" s="24" t="s">
        <v>39</v>
      </c>
      <c r="P91" s="53" t="s">
        <v>217</v>
      </c>
      <c r="Q91" s="26" t="str">
        <f t="shared" si="35"/>
        <v>Puerta Corte Sencillo_NM-180*180 / H:2200W:400 mm</v>
      </c>
    </row>
    <row r="92" spans="1:17" ht="20" customHeight="1" outlineLevel="1" x14ac:dyDescent="0.65">
      <c r="A92" s="14">
        <v>74</v>
      </c>
      <c r="B92" s="15" t="str">
        <f t="shared" si="31"/>
        <v>2272PuCS_NM</v>
      </c>
      <c r="C92" s="16" t="s">
        <v>184</v>
      </c>
      <c r="D92" s="54" t="s">
        <v>223</v>
      </c>
      <c r="E92" s="49"/>
      <c r="F92" s="49"/>
      <c r="G92" s="19" t="str">
        <f t="shared" si="32"/>
        <v>H:</v>
      </c>
      <c r="H92" s="19">
        <v>2200</v>
      </c>
      <c r="I92" s="20" t="str">
        <f t="shared" si="33"/>
        <v>W:</v>
      </c>
      <c r="J92" s="20">
        <v>720</v>
      </c>
      <c r="K92" s="21" t="str">
        <f t="shared" si="34"/>
        <v/>
      </c>
      <c r="L92" s="21"/>
      <c r="M92" s="22"/>
      <c r="N92" s="23" t="s">
        <v>198</v>
      </c>
      <c r="O92" s="24" t="s">
        <v>39</v>
      </c>
      <c r="P92" s="53" t="s">
        <v>217</v>
      </c>
      <c r="Q92" s="26" t="str">
        <f t="shared" si="35"/>
        <v>Puerta Corte Sencillo_NM-180*180 / H:2200W:720 mm</v>
      </c>
    </row>
    <row r="93" spans="1:17" ht="20" customHeight="1" outlineLevel="1" x14ac:dyDescent="0.65">
      <c r="A93" s="14">
        <v>75</v>
      </c>
      <c r="B93" s="15" t="str">
        <f t="shared" si="31"/>
        <v>2280PuCS_NM</v>
      </c>
      <c r="C93" s="16" t="s">
        <v>184</v>
      </c>
      <c r="D93" s="54" t="s">
        <v>224</v>
      </c>
      <c r="E93" s="49"/>
      <c r="F93" s="49"/>
      <c r="G93" s="19" t="str">
        <f t="shared" si="32"/>
        <v>H:</v>
      </c>
      <c r="H93" s="19">
        <v>2200</v>
      </c>
      <c r="I93" s="20" t="str">
        <f t="shared" si="33"/>
        <v>W:</v>
      </c>
      <c r="J93" s="20">
        <v>800</v>
      </c>
      <c r="K93" s="21" t="str">
        <f t="shared" si="34"/>
        <v/>
      </c>
      <c r="L93" s="21"/>
      <c r="M93" s="22"/>
      <c r="N93" s="23" t="s">
        <v>198</v>
      </c>
      <c r="O93" s="24" t="s">
        <v>39</v>
      </c>
      <c r="P93" s="53" t="s">
        <v>217</v>
      </c>
      <c r="Q93" s="26" t="str">
        <f t="shared" si="35"/>
        <v>Puerta Corte Sencillo_NM-180*180 / H:2200W:800 mm</v>
      </c>
    </row>
    <row r="94" spans="1:17" ht="20" customHeight="1" outlineLevel="1" x14ac:dyDescent="0.65">
      <c r="A94" s="14">
        <v>76</v>
      </c>
      <c r="B94" s="15" t="str">
        <f t="shared" si="31"/>
        <v>1840PuCS_NP</v>
      </c>
      <c r="C94" s="16" t="s">
        <v>184</v>
      </c>
      <c r="D94" s="54" t="s">
        <v>225</v>
      </c>
      <c r="E94" s="49"/>
      <c r="F94" s="49"/>
      <c r="G94" s="19" t="str">
        <f t="shared" si="32"/>
        <v>H:</v>
      </c>
      <c r="H94" s="19">
        <v>1800</v>
      </c>
      <c r="I94" s="20" t="str">
        <f t="shared" si="33"/>
        <v>W:</v>
      </c>
      <c r="J94" s="20">
        <v>400</v>
      </c>
      <c r="K94" s="21" t="str">
        <f t="shared" si="34"/>
        <v/>
      </c>
      <c r="L94" s="21"/>
      <c r="M94" s="22"/>
      <c r="N94" s="23" t="s">
        <v>198</v>
      </c>
      <c r="O94" s="24" t="s">
        <v>39</v>
      </c>
      <c r="P94" s="53" t="s">
        <v>226</v>
      </c>
      <c r="Q94" s="26" t="str">
        <f t="shared" si="35"/>
        <v>Puerta Corte Sencillo_NP-125*125 / H:1800W:400 mm</v>
      </c>
    </row>
    <row r="95" spans="1:17" ht="20" customHeight="1" outlineLevel="1" x14ac:dyDescent="0.65">
      <c r="A95" s="14">
        <v>77</v>
      </c>
      <c r="B95" s="15" t="str">
        <f t="shared" si="31"/>
        <v>1872PuCS_NP</v>
      </c>
      <c r="C95" s="16" t="s">
        <v>184</v>
      </c>
      <c r="D95" s="54" t="s">
        <v>227</v>
      </c>
      <c r="E95" s="49"/>
      <c r="F95" s="49"/>
      <c r="G95" s="19" t="str">
        <f t="shared" si="32"/>
        <v>H:</v>
      </c>
      <c r="H95" s="19">
        <v>1800</v>
      </c>
      <c r="I95" s="20" t="str">
        <f t="shared" si="33"/>
        <v>W:</v>
      </c>
      <c r="J95" s="20">
        <v>720</v>
      </c>
      <c r="K95" s="21" t="str">
        <f t="shared" si="34"/>
        <v/>
      </c>
      <c r="L95" s="21"/>
      <c r="M95" s="22"/>
      <c r="N95" s="23" t="s">
        <v>198</v>
      </c>
      <c r="O95" s="24" t="s">
        <v>39</v>
      </c>
      <c r="P95" s="53" t="s">
        <v>226</v>
      </c>
      <c r="Q95" s="26" t="str">
        <f t="shared" si="35"/>
        <v>Puerta Corte Sencillo_NP-125*125 / H:1800W:720 mm</v>
      </c>
    </row>
    <row r="96" spans="1:17" ht="20" customHeight="1" outlineLevel="1" x14ac:dyDescent="0.65">
      <c r="A96" s="14">
        <v>78</v>
      </c>
      <c r="B96" s="15" t="str">
        <f t="shared" si="31"/>
        <v>2040PuCS_NP</v>
      </c>
      <c r="C96" s="16" t="s">
        <v>184</v>
      </c>
      <c r="D96" s="54" t="s">
        <v>228</v>
      </c>
      <c r="E96" s="49"/>
      <c r="F96" s="49"/>
      <c r="G96" s="19" t="str">
        <f t="shared" si="32"/>
        <v>H:</v>
      </c>
      <c r="H96" s="19">
        <v>2000</v>
      </c>
      <c r="I96" s="20" t="str">
        <f t="shared" si="33"/>
        <v>W:</v>
      </c>
      <c r="J96" s="20">
        <v>400</v>
      </c>
      <c r="K96" s="21" t="str">
        <f t="shared" si="34"/>
        <v/>
      </c>
      <c r="L96" s="21"/>
      <c r="M96" s="22"/>
      <c r="N96" s="23" t="s">
        <v>198</v>
      </c>
      <c r="O96" s="24" t="s">
        <v>39</v>
      </c>
      <c r="P96" s="53" t="s">
        <v>226</v>
      </c>
      <c r="Q96" s="26" t="str">
        <f t="shared" si="35"/>
        <v>Puerta Corte Sencillo_NP-125*125 / H:2000W:400 mm</v>
      </c>
    </row>
    <row r="97" spans="1:17" ht="20" customHeight="1" outlineLevel="1" x14ac:dyDescent="0.65">
      <c r="A97" s="14">
        <v>79</v>
      </c>
      <c r="B97" s="15" t="str">
        <f t="shared" si="31"/>
        <v>2072PuCS_NP</v>
      </c>
      <c r="C97" s="16" t="s">
        <v>184</v>
      </c>
      <c r="D97" s="54" t="s">
        <v>229</v>
      </c>
      <c r="E97" s="49"/>
      <c r="F97" s="49"/>
      <c r="G97" s="19" t="str">
        <f t="shared" si="32"/>
        <v>H:</v>
      </c>
      <c r="H97" s="19">
        <v>2000</v>
      </c>
      <c r="I97" s="20" t="str">
        <f t="shared" si="33"/>
        <v>W:</v>
      </c>
      <c r="J97" s="20">
        <v>720</v>
      </c>
      <c r="K97" s="21" t="str">
        <f t="shared" si="34"/>
        <v/>
      </c>
      <c r="L97" s="21"/>
      <c r="M97" s="22"/>
      <c r="N97" s="23" t="s">
        <v>198</v>
      </c>
      <c r="O97" s="24" t="s">
        <v>39</v>
      </c>
      <c r="P97" s="53" t="s">
        <v>226</v>
      </c>
      <c r="Q97" s="26" t="str">
        <f t="shared" si="35"/>
        <v>Puerta Corte Sencillo_NP-125*125 / H:2000W:720 mm</v>
      </c>
    </row>
    <row r="98" spans="1:17" ht="20" customHeight="1" outlineLevel="1" x14ac:dyDescent="0.65">
      <c r="A98" s="14">
        <v>80</v>
      </c>
      <c r="B98" s="15" t="str">
        <f t="shared" si="31"/>
        <v>2080PuCS_NP</v>
      </c>
      <c r="C98" s="16" t="s">
        <v>184</v>
      </c>
      <c r="D98" s="54" t="s">
        <v>230</v>
      </c>
      <c r="E98" s="49"/>
      <c r="F98" s="49"/>
      <c r="G98" s="19" t="str">
        <f t="shared" si="32"/>
        <v>H:</v>
      </c>
      <c r="H98" s="19">
        <v>2000</v>
      </c>
      <c r="I98" s="20" t="str">
        <f t="shared" si="33"/>
        <v>W:</v>
      </c>
      <c r="J98" s="20">
        <v>800</v>
      </c>
      <c r="K98" s="21" t="str">
        <f t="shared" si="34"/>
        <v/>
      </c>
      <c r="L98" s="21"/>
      <c r="M98" s="22"/>
      <c r="N98" s="23" t="s">
        <v>198</v>
      </c>
      <c r="O98" s="24" t="s">
        <v>39</v>
      </c>
      <c r="P98" s="53" t="s">
        <v>226</v>
      </c>
      <c r="Q98" s="26" t="str">
        <f t="shared" si="35"/>
        <v>Puerta Corte Sencillo_NP-125*125 / H:2000W:800 mm</v>
      </c>
    </row>
    <row r="99" spans="1:17" ht="20" customHeight="1" outlineLevel="1" x14ac:dyDescent="0.65">
      <c r="A99" s="14">
        <v>81</v>
      </c>
      <c r="B99" s="15" t="str">
        <f t="shared" si="31"/>
        <v>2240PuCS_NP</v>
      </c>
      <c r="C99" s="16" t="s">
        <v>184</v>
      </c>
      <c r="D99" s="54" t="s">
        <v>231</v>
      </c>
      <c r="E99" s="49"/>
      <c r="F99" s="49"/>
      <c r="G99" s="19" t="str">
        <f t="shared" si="32"/>
        <v>H:</v>
      </c>
      <c r="H99" s="19">
        <v>2200</v>
      </c>
      <c r="I99" s="20" t="str">
        <f t="shared" si="33"/>
        <v>W:</v>
      </c>
      <c r="J99" s="20">
        <v>400</v>
      </c>
      <c r="K99" s="21" t="str">
        <f t="shared" si="34"/>
        <v/>
      </c>
      <c r="L99" s="21"/>
      <c r="M99" s="22"/>
      <c r="N99" s="23" t="s">
        <v>198</v>
      </c>
      <c r="O99" s="24" t="s">
        <v>39</v>
      </c>
      <c r="P99" s="53" t="s">
        <v>226</v>
      </c>
      <c r="Q99" s="26" t="str">
        <f t="shared" si="35"/>
        <v>Puerta Corte Sencillo_NP-125*125 / H:2200W:400 mm</v>
      </c>
    </row>
    <row r="100" spans="1:17" ht="20" customHeight="1" outlineLevel="1" x14ac:dyDescent="0.65">
      <c r="A100" s="14">
        <v>82</v>
      </c>
      <c r="B100" s="15" t="str">
        <f t="shared" si="31"/>
        <v>2272PuCS_NP</v>
      </c>
      <c r="C100" s="16" t="s">
        <v>184</v>
      </c>
      <c r="D100" s="54" t="s">
        <v>232</v>
      </c>
      <c r="E100" s="49"/>
      <c r="F100" s="49"/>
      <c r="G100" s="19" t="str">
        <f t="shared" si="32"/>
        <v>H:</v>
      </c>
      <c r="H100" s="19">
        <v>2200</v>
      </c>
      <c r="I100" s="20" t="str">
        <f t="shared" si="33"/>
        <v>W:</v>
      </c>
      <c r="J100" s="20">
        <v>720</v>
      </c>
      <c r="K100" s="21" t="str">
        <f t="shared" si="34"/>
        <v/>
      </c>
      <c r="L100" s="21"/>
      <c r="M100" s="22"/>
      <c r="N100" s="23" t="s">
        <v>198</v>
      </c>
      <c r="O100" s="24" t="s">
        <v>39</v>
      </c>
      <c r="P100" s="53" t="s">
        <v>226</v>
      </c>
      <c r="Q100" s="26" t="str">
        <f t="shared" si="35"/>
        <v>Puerta Corte Sencillo_NP-125*125 / H:2200W:720 mm</v>
      </c>
    </row>
    <row r="101" spans="1:17" ht="20" customHeight="1" outlineLevel="1" x14ac:dyDescent="0.65">
      <c r="A101" s="14">
        <v>83</v>
      </c>
      <c r="B101" s="15" t="str">
        <f t="shared" si="31"/>
        <v>2280PuCS_NP</v>
      </c>
      <c r="C101" s="16" t="s">
        <v>184</v>
      </c>
      <c r="D101" s="54" t="s">
        <v>233</v>
      </c>
      <c r="E101" s="49"/>
      <c r="F101" s="49"/>
      <c r="G101" s="19" t="str">
        <f t="shared" si="32"/>
        <v>H:</v>
      </c>
      <c r="H101" s="19">
        <v>2200</v>
      </c>
      <c r="I101" s="20" t="str">
        <f t="shared" si="33"/>
        <v>W:</v>
      </c>
      <c r="J101" s="20">
        <v>800</v>
      </c>
      <c r="K101" s="21" t="str">
        <f t="shared" si="34"/>
        <v/>
      </c>
      <c r="L101" s="21"/>
      <c r="M101" s="22"/>
      <c r="N101" s="23" t="s">
        <v>198</v>
      </c>
      <c r="O101" s="24" t="s">
        <v>39</v>
      </c>
      <c r="P101" s="53" t="s">
        <v>226</v>
      </c>
      <c r="Q101" s="26" t="str">
        <f t="shared" si="35"/>
        <v>Puerta Corte Sencillo_NP-125*125 / H:2200W:800 mm</v>
      </c>
    </row>
    <row r="102" spans="1:17" ht="20" customHeight="1" outlineLevel="1" x14ac:dyDescent="0.65">
      <c r="A102" s="14">
        <v>84</v>
      </c>
      <c r="B102" s="15" t="str">
        <f t="shared" si="31"/>
        <v>1840PuV</v>
      </c>
      <c r="C102" s="16" t="s">
        <v>184</v>
      </c>
      <c r="D102" s="55" t="s">
        <v>234</v>
      </c>
      <c r="E102" s="49"/>
      <c r="F102" s="49"/>
      <c r="G102" s="19" t="str">
        <f t="shared" si="32"/>
        <v>H:</v>
      </c>
      <c r="H102" s="19">
        <v>1800</v>
      </c>
      <c r="I102" s="20" t="str">
        <f t="shared" si="33"/>
        <v>W:</v>
      </c>
      <c r="J102" s="20">
        <v>400</v>
      </c>
      <c r="K102" s="21" t="str">
        <f t="shared" si="34"/>
        <v/>
      </c>
      <c r="L102" s="21"/>
      <c r="M102" s="22"/>
      <c r="N102" s="23" t="s">
        <v>235</v>
      </c>
      <c r="O102" s="24"/>
      <c r="P102" s="53"/>
      <c r="Q102" s="26" t="str">
        <f t="shared" si="35"/>
        <v>Puerta Vidrio  / H:1800W:400 mm</v>
      </c>
    </row>
    <row r="103" spans="1:17" ht="20" customHeight="1" outlineLevel="1" x14ac:dyDescent="0.65">
      <c r="A103" s="14">
        <v>85</v>
      </c>
      <c r="B103" s="15" t="str">
        <f t="shared" si="31"/>
        <v>1872PuV</v>
      </c>
      <c r="C103" s="16" t="s">
        <v>184</v>
      </c>
      <c r="D103" s="55" t="s">
        <v>236</v>
      </c>
      <c r="E103" s="49"/>
      <c r="F103" s="49"/>
      <c r="G103" s="19" t="str">
        <f t="shared" si="32"/>
        <v>H:</v>
      </c>
      <c r="H103" s="19">
        <v>1800</v>
      </c>
      <c r="I103" s="20" t="str">
        <f t="shared" si="33"/>
        <v>W:</v>
      </c>
      <c r="J103" s="20">
        <v>720</v>
      </c>
      <c r="K103" s="21" t="str">
        <f t="shared" si="34"/>
        <v/>
      </c>
      <c r="L103" s="21"/>
      <c r="M103" s="22"/>
      <c r="N103" s="23" t="s">
        <v>235</v>
      </c>
      <c r="O103" s="24"/>
      <c r="P103" s="53"/>
      <c r="Q103" s="26" t="str">
        <f t="shared" si="35"/>
        <v>Puerta Vidrio  / H:1800W:720 mm</v>
      </c>
    </row>
    <row r="104" spans="1:17" ht="20" customHeight="1" outlineLevel="1" x14ac:dyDescent="0.65">
      <c r="A104" s="14">
        <v>86</v>
      </c>
      <c r="B104" s="15" t="str">
        <f t="shared" si="31"/>
        <v>2040PuV</v>
      </c>
      <c r="C104" s="16" t="s">
        <v>184</v>
      </c>
      <c r="D104" s="55" t="s">
        <v>237</v>
      </c>
      <c r="E104" s="49"/>
      <c r="F104" s="49"/>
      <c r="G104" s="19" t="str">
        <f t="shared" si="32"/>
        <v>H:</v>
      </c>
      <c r="H104" s="19">
        <v>2000</v>
      </c>
      <c r="I104" s="20" t="str">
        <f t="shared" si="33"/>
        <v>W:</v>
      </c>
      <c r="J104" s="20">
        <v>400</v>
      </c>
      <c r="K104" s="21" t="str">
        <f t="shared" si="34"/>
        <v/>
      </c>
      <c r="L104" s="21"/>
      <c r="M104" s="22"/>
      <c r="N104" s="23" t="s">
        <v>235</v>
      </c>
      <c r="O104" s="24"/>
      <c r="P104" s="53"/>
      <c r="Q104" s="26" t="str">
        <f t="shared" si="35"/>
        <v>Puerta Vidrio  / H:2000W:400 mm</v>
      </c>
    </row>
    <row r="105" spans="1:17" ht="20" customHeight="1" outlineLevel="1" x14ac:dyDescent="0.65">
      <c r="A105" s="14">
        <v>87</v>
      </c>
      <c r="B105" s="15" t="str">
        <f t="shared" si="31"/>
        <v>2072PuV</v>
      </c>
      <c r="C105" s="16" t="s">
        <v>184</v>
      </c>
      <c r="D105" s="55" t="s">
        <v>238</v>
      </c>
      <c r="E105" s="49"/>
      <c r="F105" s="49"/>
      <c r="G105" s="19" t="str">
        <f t="shared" si="32"/>
        <v>H:</v>
      </c>
      <c r="H105" s="19">
        <v>2000</v>
      </c>
      <c r="I105" s="20" t="str">
        <f t="shared" si="33"/>
        <v>W:</v>
      </c>
      <c r="J105" s="20">
        <v>720</v>
      </c>
      <c r="K105" s="21" t="str">
        <f t="shared" si="34"/>
        <v/>
      </c>
      <c r="L105" s="21"/>
      <c r="M105" s="22"/>
      <c r="N105" s="23" t="s">
        <v>235</v>
      </c>
      <c r="O105" s="24"/>
      <c r="P105" s="53"/>
      <c r="Q105" s="26" t="str">
        <f t="shared" si="35"/>
        <v>Puerta Vidrio  / H:2000W:720 mm</v>
      </c>
    </row>
    <row r="106" spans="1:17" ht="20" customHeight="1" outlineLevel="1" x14ac:dyDescent="0.65">
      <c r="A106" s="14">
        <v>88</v>
      </c>
      <c r="B106" s="15" t="str">
        <f t="shared" si="31"/>
        <v>2080PuV</v>
      </c>
      <c r="C106" s="16" t="s">
        <v>184</v>
      </c>
      <c r="D106" s="55" t="s">
        <v>239</v>
      </c>
      <c r="E106" s="49"/>
      <c r="F106" s="49"/>
      <c r="G106" s="19" t="str">
        <f t="shared" si="32"/>
        <v>H:</v>
      </c>
      <c r="H106" s="19">
        <v>2000</v>
      </c>
      <c r="I106" s="20" t="str">
        <f t="shared" si="33"/>
        <v>W:</v>
      </c>
      <c r="J106" s="20">
        <v>800</v>
      </c>
      <c r="K106" s="21" t="str">
        <f t="shared" si="34"/>
        <v/>
      </c>
      <c r="L106" s="21"/>
      <c r="M106" s="22"/>
      <c r="N106" s="23" t="s">
        <v>235</v>
      </c>
      <c r="O106" s="24"/>
      <c r="P106" s="53"/>
      <c r="Q106" s="26" t="str">
        <f t="shared" si="35"/>
        <v>Puerta Vidrio  / H:2000W:800 mm</v>
      </c>
    </row>
    <row r="107" spans="1:17" ht="20" customHeight="1" outlineLevel="1" x14ac:dyDescent="0.65">
      <c r="A107" s="14">
        <v>89</v>
      </c>
      <c r="B107" s="15" t="str">
        <f t="shared" si="31"/>
        <v>2240PuV</v>
      </c>
      <c r="C107" s="16" t="s">
        <v>184</v>
      </c>
      <c r="D107" s="55" t="s">
        <v>240</v>
      </c>
      <c r="E107" s="49"/>
      <c r="F107" s="49"/>
      <c r="G107" s="19" t="str">
        <f t="shared" si="32"/>
        <v>H:</v>
      </c>
      <c r="H107" s="19">
        <v>2200</v>
      </c>
      <c r="I107" s="20" t="str">
        <f t="shared" si="33"/>
        <v>W:</v>
      </c>
      <c r="J107" s="20">
        <v>400</v>
      </c>
      <c r="K107" s="21" t="str">
        <f t="shared" si="34"/>
        <v/>
      </c>
      <c r="L107" s="21"/>
      <c r="M107" s="22"/>
      <c r="N107" s="23" t="s">
        <v>235</v>
      </c>
      <c r="O107" s="24"/>
      <c r="P107" s="53"/>
      <c r="Q107" s="26" t="str">
        <f t="shared" si="35"/>
        <v>Puerta Vidrio  / H:2200W:400 mm</v>
      </c>
    </row>
    <row r="108" spans="1:17" ht="20" customHeight="1" outlineLevel="1" x14ac:dyDescent="0.65">
      <c r="A108" s="14">
        <v>90</v>
      </c>
      <c r="B108" s="15" t="str">
        <f t="shared" si="31"/>
        <v>2272PuV</v>
      </c>
      <c r="C108" s="16" t="s">
        <v>184</v>
      </c>
      <c r="D108" s="55" t="s">
        <v>241</v>
      </c>
      <c r="E108" s="49"/>
      <c r="F108" s="49"/>
      <c r="G108" s="19" t="str">
        <f t="shared" si="32"/>
        <v>H:</v>
      </c>
      <c r="H108" s="19">
        <v>2200</v>
      </c>
      <c r="I108" s="20" t="str">
        <f t="shared" si="33"/>
        <v>W:</v>
      </c>
      <c r="J108" s="20">
        <v>720</v>
      </c>
      <c r="K108" s="21" t="str">
        <f t="shared" si="34"/>
        <v/>
      </c>
      <c r="L108" s="21"/>
      <c r="M108" s="22"/>
      <c r="N108" s="23" t="s">
        <v>235</v>
      </c>
      <c r="O108" s="24"/>
      <c r="P108" s="53"/>
      <c r="Q108" s="26" t="str">
        <f t="shared" si="35"/>
        <v>Puerta Vidrio  / H:2200W:720 mm</v>
      </c>
    </row>
    <row r="109" spans="1:17" ht="20" customHeight="1" outlineLevel="1" x14ac:dyDescent="0.65">
      <c r="A109" s="14">
        <v>91</v>
      </c>
      <c r="B109" s="15" t="str">
        <f t="shared" si="31"/>
        <v>2280PuV</v>
      </c>
      <c r="C109" s="16" t="s">
        <v>184</v>
      </c>
      <c r="D109" s="55" t="s">
        <v>242</v>
      </c>
      <c r="E109" s="49"/>
      <c r="F109" s="49"/>
      <c r="G109" s="19" t="str">
        <f t="shared" si="32"/>
        <v>H:</v>
      </c>
      <c r="H109" s="19">
        <v>2200</v>
      </c>
      <c r="I109" s="20" t="str">
        <f t="shared" si="33"/>
        <v>W:</v>
      </c>
      <c r="J109" s="20">
        <v>800</v>
      </c>
      <c r="K109" s="21" t="str">
        <f t="shared" si="34"/>
        <v/>
      </c>
      <c r="L109" s="21"/>
      <c r="M109" s="22"/>
      <c r="N109" s="23" t="s">
        <v>235</v>
      </c>
      <c r="O109" s="24"/>
      <c r="P109" s="53"/>
      <c r="Q109" s="26" t="str">
        <f t="shared" si="35"/>
        <v>Puerta Vidrio  / H:2200W:800 mm</v>
      </c>
    </row>
    <row r="110" spans="1:17" ht="20" customHeight="1" outlineLevel="1" x14ac:dyDescent="0.65">
      <c r="A110" s="14">
        <v>92</v>
      </c>
      <c r="B110" s="15" t="str">
        <f t="shared" si="31"/>
        <v>1840PuCP_Pe</v>
      </c>
      <c r="C110" s="16" t="s">
        <v>184</v>
      </c>
      <c r="D110" s="54" t="s">
        <v>243</v>
      </c>
      <c r="E110" s="49"/>
      <c r="F110" s="49"/>
      <c r="G110" s="19" t="str">
        <f t="shared" si="32"/>
        <v>H:</v>
      </c>
      <c r="H110" s="19">
        <v>1800</v>
      </c>
      <c r="I110" s="20" t="str">
        <f t="shared" si="33"/>
        <v>W:</v>
      </c>
      <c r="J110" s="20">
        <v>400</v>
      </c>
      <c r="K110" s="21" t="str">
        <f t="shared" si="34"/>
        <v/>
      </c>
      <c r="L110" s="21"/>
      <c r="M110" s="22"/>
      <c r="N110" s="23" t="s">
        <v>198</v>
      </c>
      <c r="O110" s="24" t="s">
        <v>244</v>
      </c>
      <c r="P110" s="53" t="s">
        <v>245</v>
      </c>
      <c r="Q110" s="26" t="str">
        <f t="shared" si="35"/>
        <v>Puerta Corte Placa_Pequeña / H:1800W:400 mm</v>
      </c>
    </row>
    <row r="111" spans="1:17" ht="20" customHeight="1" outlineLevel="1" x14ac:dyDescent="0.65">
      <c r="A111" s="14">
        <v>93</v>
      </c>
      <c r="B111" s="15" t="str">
        <f t="shared" si="31"/>
        <v>1872PuCP_Pe</v>
      </c>
      <c r="C111" s="16" t="s">
        <v>184</v>
      </c>
      <c r="D111" s="54" t="s">
        <v>246</v>
      </c>
      <c r="E111" s="49"/>
      <c r="F111" s="49"/>
      <c r="G111" s="19" t="str">
        <f t="shared" si="32"/>
        <v>H:</v>
      </c>
      <c r="H111" s="19">
        <v>1800</v>
      </c>
      <c r="I111" s="20" t="str">
        <f t="shared" si="33"/>
        <v>W:</v>
      </c>
      <c r="J111" s="20">
        <v>720</v>
      </c>
      <c r="K111" s="21" t="str">
        <f t="shared" si="34"/>
        <v/>
      </c>
      <c r="L111" s="21"/>
      <c r="M111" s="22"/>
      <c r="N111" s="23" t="s">
        <v>198</v>
      </c>
      <c r="O111" s="24" t="s">
        <v>244</v>
      </c>
      <c r="P111" s="53" t="s">
        <v>245</v>
      </c>
      <c r="Q111" s="26" t="str">
        <f t="shared" si="35"/>
        <v>Puerta Corte Placa_Pequeña / H:1800W:720 mm</v>
      </c>
    </row>
    <row r="112" spans="1:17" ht="20" customHeight="1" outlineLevel="1" x14ac:dyDescent="0.65">
      <c r="A112" s="14">
        <v>94</v>
      </c>
      <c r="B112" s="15" t="str">
        <f t="shared" si="31"/>
        <v>2040PuCP_Pe</v>
      </c>
      <c r="C112" s="16" t="s">
        <v>184</v>
      </c>
      <c r="D112" s="54" t="s">
        <v>247</v>
      </c>
      <c r="E112" s="49"/>
      <c r="F112" s="49"/>
      <c r="G112" s="19" t="str">
        <f t="shared" si="32"/>
        <v>H:</v>
      </c>
      <c r="H112" s="19">
        <v>2000</v>
      </c>
      <c r="I112" s="20" t="str">
        <f t="shared" si="33"/>
        <v>W:</v>
      </c>
      <c r="J112" s="20">
        <v>400</v>
      </c>
      <c r="K112" s="21" t="str">
        <f t="shared" si="34"/>
        <v/>
      </c>
      <c r="L112" s="21"/>
      <c r="M112" s="22"/>
      <c r="N112" s="23" t="s">
        <v>198</v>
      </c>
      <c r="O112" s="24" t="s">
        <v>244</v>
      </c>
      <c r="P112" s="53" t="s">
        <v>245</v>
      </c>
      <c r="Q112" s="26" t="str">
        <f t="shared" si="35"/>
        <v>Puerta Corte Placa_Pequeña / H:2000W:400 mm</v>
      </c>
    </row>
    <row r="113" spans="1:17" ht="20" customHeight="1" outlineLevel="1" x14ac:dyDescent="0.65">
      <c r="A113" s="14">
        <v>95</v>
      </c>
      <c r="B113" s="15" t="str">
        <f t="shared" si="31"/>
        <v>2072PuCP_Pe</v>
      </c>
      <c r="C113" s="16" t="s">
        <v>184</v>
      </c>
      <c r="D113" s="54" t="s">
        <v>248</v>
      </c>
      <c r="E113" s="49"/>
      <c r="F113" s="49"/>
      <c r="G113" s="19" t="str">
        <f t="shared" si="32"/>
        <v>H:</v>
      </c>
      <c r="H113" s="19">
        <v>2000</v>
      </c>
      <c r="I113" s="20" t="str">
        <f t="shared" si="33"/>
        <v>W:</v>
      </c>
      <c r="J113" s="20">
        <v>720</v>
      </c>
      <c r="K113" s="21" t="str">
        <f t="shared" si="34"/>
        <v/>
      </c>
      <c r="L113" s="21"/>
      <c r="M113" s="22"/>
      <c r="N113" s="23" t="s">
        <v>198</v>
      </c>
      <c r="O113" s="24" t="s">
        <v>244</v>
      </c>
      <c r="P113" s="53" t="s">
        <v>245</v>
      </c>
      <c r="Q113" s="26" t="str">
        <f t="shared" si="35"/>
        <v>Puerta Corte Placa_Pequeña / H:2000W:720 mm</v>
      </c>
    </row>
    <row r="114" spans="1:17" ht="20" customHeight="1" outlineLevel="1" x14ac:dyDescent="0.65">
      <c r="A114" s="14">
        <v>96</v>
      </c>
      <c r="B114" s="15" t="str">
        <f t="shared" si="31"/>
        <v>2080PuCP_Pe</v>
      </c>
      <c r="C114" s="16" t="s">
        <v>184</v>
      </c>
      <c r="D114" s="54" t="s">
        <v>249</v>
      </c>
      <c r="E114" s="49"/>
      <c r="F114" s="49"/>
      <c r="G114" s="19" t="str">
        <f t="shared" si="32"/>
        <v>H:</v>
      </c>
      <c r="H114" s="19">
        <v>2000</v>
      </c>
      <c r="I114" s="20" t="str">
        <f t="shared" si="33"/>
        <v>W:</v>
      </c>
      <c r="J114" s="20">
        <v>800</v>
      </c>
      <c r="K114" s="21" t="str">
        <f t="shared" si="34"/>
        <v/>
      </c>
      <c r="L114" s="21"/>
      <c r="M114" s="22"/>
      <c r="N114" s="23" t="s">
        <v>198</v>
      </c>
      <c r="O114" s="24" t="s">
        <v>244</v>
      </c>
      <c r="P114" s="53" t="s">
        <v>245</v>
      </c>
      <c r="Q114" s="26" t="str">
        <f t="shared" si="35"/>
        <v>Puerta Corte Placa_Pequeña / H:2000W:800 mm</v>
      </c>
    </row>
    <row r="115" spans="1:17" ht="20" customHeight="1" outlineLevel="1" x14ac:dyDescent="0.65">
      <c r="A115" s="14">
        <v>97</v>
      </c>
      <c r="B115" s="15" t="str">
        <f t="shared" si="31"/>
        <v>2240PuCP_Pe</v>
      </c>
      <c r="C115" s="16" t="s">
        <v>184</v>
      </c>
      <c r="D115" s="54" t="s">
        <v>250</v>
      </c>
      <c r="E115" s="49"/>
      <c r="F115" s="49"/>
      <c r="G115" s="19" t="str">
        <f t="shared" si="32"/>
        <v>H:</v>
      </c>
      <c r="H115" s="19">
        <v>2200</v>
      </c>
      <c r="I115" s="20" t="str">
        <f t="shared" si="33"/>
        <v>W:</v>
      </c>
      <c r="J115" s="20">
        <v>400</v>
      </c>
      <c r="K115" s="21" t="str">
        <f t="shared" si="34"/>
        <v/>
      </c>
      <c r="L115" s="21"/>
      <c r="M115" s="22"/>
      <c r="N115" s="23" t="s">
        <v>198</v>
      </c>
      <c r="O115" s="24" t="s">
        <v>244</v>
      </c>
      <c r="P115" s="53" t="s">
        <v>245</v>
      </c>
      <c r="Q115" s="26" t="str">
        <f t="shared" si="35"/>
        <v>Puerta Corte Placa_Pequeña / H:2200W:400 mm</v>
      </c>
    </row>
    <row r="116" spans="1:17" ht="20" customHeight="1" outlineLevel="1" x14ac:dyDescent="0.65">
      <c r="A116" s="14">
        <v>98</v>
      </c>
      <c r="B116" s="15" t="str">
        <f t="shared" si="31"/>
        <v>2272PuCP_Pe</v>
      </c>
      <c r="C116" s="16" t="s">
        <v>184</v>
      </c>
      <c r="D116" s="54" t="s">
        <v>251</v>
      </c>
      <c r="E116" s="49"/>
      <c r="F116" s="49"/>
      <c r="G116" s="19" t="str">
        <f t="shared" si="32"/>
        <v>H:</v>
      </c>
      <c r="H116" s="19">
        <v>2200</v>
      </c>
      <c r="I116" s="20" t="str">
        <f t="shared" si="33"/>
        <v>W:</v>
      </c>
      <c r="J116" s="20">
        <v>720</v>
      </c>
      <c r="K116" s="21" t="str">
        <f t="shared" si="34"/>
        <v/>
      </c>
      <c r="L116" s="21"/>
      <c r="M116" s="22"/>
      <c r="N116" s="23" t="s">
        <v>198</v>
      </c>
      <c r="O116" s="24" t="s">
        <v>244</v>
      </c>
      <c r="P116" s="53" t="s">
        <v>245</v>
      </c>
      <c r="Q116" s="26" t="str">
        <f t="shared" si="35"/>
        <v>Puerta Corte Placa_Pequeña / H:2200W:720 mm</v>
      </c>
    </row>
    <row r="117" spans="1:17" ht="20" customHeight="1" outlineLevel="1" x14ac:dyDescent="0.65">
      <c r="A117" s="14">
        <v>99</v>
      </c>
      <c r="B117" s="15" t="str">
        <f t="shared" si="31"/>
        <v>2280PuCP_Pe</v>
      </c>
      <c r="C117" s="16" t="s">
        <v>184</v>
      </c>
      <c r="D117" s="54" t="s">
        <v>252</v>
      </c>
      <c r="E117" s="49"/>
      <c r="F117" s="49"/>
      <c r="G117" s="19" t="str">
        <f t="shared" si="32"/>
        <v>H:</v>
      </c>
      <c r="H117" s="19">
        <v>2200</v>
      </c>
      <c r="I117" s="20" t="str">
        <f t="shared" si="33"/>
        <v>W:</v>
      </c>
      <c r="J117" s="20">
        <v>800</v>
      </c>
      <c r="K117" s="21" t="str">
        <f t="shared" si="34"/>
        <v/>
      </c>
      <c r="L117" s="21"/>
      <c r="M117" s="22"/>
      <c r="N117" s="23" t="s">
        <v>198</v>
      </c>
      <c r="O117" s="24" t="s">
        <v>244</v>
      </c>
      <c r="P117" s="53" t="s">
        <v>245</v>
      </c>
      <c r="Q117" s="26" t="str">
        <f t="shared" si="35"/>
        <v>Puerta Corte Placa_Pequeña / H:2200W:800 mm</v>
      </c>
    </row>
    <row r="118" spans="1:17" ht="20" customHeight="1" outlineLevel="1" x14ac:dyDescent="0.65">
      <c r="A118" s="14">
        <v>100</v>
      </c>
      <c r="B118" s="15" t="str">
        <f t="shared" si="31"/>
        <v>1840PuCP_Me</v>
      </c>
      <c r="C118" s="16" t="s">
        <v>184</v>
      </c>
      <c r="D118" s="54" t="s">
        <v>253</v>
      </c>
      <c r="E118" s="49"/>
      <c r="F118" s="49"/>
      <c r="G118" s="19" t="str">
        <f t="shared" si="32"/>
        <v>H:</v>
      </c>
      <c r="H118" s="19">
        <v>1800</v>
      </c>
      <c r="I118" s="20" t="str">
        <f t="shared" si="33"/>
        <v>W:</v>
      </c>
      <c r="J118" s="20">
        <v>400</v>
      </c>
      <c r="K118" s="21" t="str">
        <f t="shared" si="34"/>
        <v/>
      </c>
      <c r="L118" s="21"/>
      <c r="M118" s="22"/>
      <c r="N118" s="23" t="s">
        <v>198</v>
      </c>
      <c r="O118" s="24" t="s">
        <v>244</v>
      </c>
      <c r="P118" s="53" t="s">
        <v>254</v>
      </c>
      <c r="Q118" s="26" t="str">
        <f t="shared" si="35"/>
        <v>Puerta Corte Placa_Mediana  / H:1800W:400 mm</v>
      </c>
    </row>
    <row r="119" spans="1:17" ht="20" customHeight="1" outlineLevel="1" x14ac:dyDescent="0.65">
      <c r="A119" s="14">
        <v>101</v>
      </c>
      <c r="B119" s="15" t="str">
        <f t="shared" si="31"/>
        <v>1872PuCP_Me</v>
      </c>
      <c r="C119" s="16" t="s">
        <v>184</v>
      </c>
      <c r="D119" s="54" t="s">
        <v>255</v>
      </c>
      <c r="E119" s="49"/>
      <c r="F119" s="49"/>
      <c r="G119" s="19" t="str">
        <f t="shared" si="32"/>
        <v>H:</v>
      </c>
      <c r="H119" s="19">
        <v>1800</v>
      </c>
      <c r="I119" s="20" t="str">
        <f t="shared" si="33"/>
        <v>W:</v>
      </c>
      <c r="J119" s="20">
        <v>720</v>
      </c>
      <c r="K119" s="21" t="str">
        <f t="shared" si="34"/>
        <v/>
      </c>
      <c r="L119" s="21"/>
      <c r="M119" s="22"/>
      <c r="N119" s="23" t="s">
        <v>198</v>
      </c>
      <c r="O119" s="24" t="s">
        <v>244</v>
      </c>
      <c r="P119" s="53" t="s">
        <v>254</v>
      </c>
      <c r="Q119" s="26" t="str">
        <f t="shared" si="35"/>
        <v>Puerta Corte Placa_Mediana  / H:1800W:720 mm</v>
      </c>
    </row>
    <row r="120" spans="1:17" ht="20" customHeight="1" outlineLevel="1" x14ac:dyDescent="0.65">
      <c r="A120" s="14">
        <v>102</v>
      </c>
      <c r="B120" s="15" t="str">
        <f t="shared" si="31"/>
        <v>2040PuCP_Me</v>
      </c>
      <c r="C120" s="16" t="s">
        <v>184</v>
      </c>
      <c r="D120" s="54" t="s">
        <v>256</v>
      </c>
      <c r="E120" s="49"/>
      <c r="F120" s="49"/>
      <c r="G120" s="19" t="str">
        <f t="shared" si="32"/>
        <v>H:</v>
      </c>
      <c r="H120" s="19">
        <v>2000</v>
      </c>
      <c r="I120" s="20" t="str">
        <f t="shared" si="33"/>
        <v>W:</v>
      </c>
      <c r="J120" s="20">
        <v>400</v>
      </c>
      <c r="K120" s="21" t="str">
        <f t="shared" si="34"/>
        <v/>
      </c>
      <c r="L120" s="21"/>
      <c r="M120" s="22"/>
      <c r="N120" s="23" t="s">
        <v>198</v>
      </c>
      <c r="O120" s="24" t="s">
        <v>244</v>
      </c>
      <c r="P120" s="53" t="s">
        <v>254</v>
      </c>
      <c r="Q120" s="26" t="str">
        <f t="shared" si="35"/>
        <v>Puerta Corte Placa_Mediana  / H:2000W:400 mm</v>
      </c>
    </row>
    <row r="121" spans="1:17" ht="20" customHeight="1" outlineLevel="1" x14ac:dyDescent="0.65">
      <c r="A121" s="14">
        <v>103</v>
      </c>
      <c r="B121" s="15" t="str">
        <f t="shared" si="31"/>
        <v>2072PuCP_Me</v>
      </c>
      <c r="C121" s="16" t="s">
        <v>184</v>
      </c>
      <c r="D121" s="54" t="s">
        <v>257</v>
      </c>
      <c r="E121" s="49"/>
      <c r="F121" s="49"/>
      <c r="G121" s="19" t="str">
        <f t="shared" si="32"/>
        <v>H:</v>
      </c>
      <c r="H121" s="19">
        <v>2000</v>
      </c>
      <c r="I121" s="20" t="str">
        <f t="shared" si="33"/>
        <v>W:</v>
      </c>
      <c r="J121" s="20">
        <v>720</v>
      </c>
      <c r="K121" s="21" t="str">
        <f t="shared" si="34"/>
        <v/>
      </c>
      <c r="L121" s="21"/>
      <c r="M121" s="22"/>
      <c r="N121" s="23" t="s">
        <v>198</v>
      </c>
      <c r="O121" s="24" t="s">
        <v>244</v>
      </c>
      <c r="P121" s="53" t="s">
        <v>254</v>
      </c>
      <c r="Q121" s="26" t="str">
        <f t="shared" si="35"/>
        <v>Puerta Corte Placa_Mediana  / H:2000W:720 mm</v>
      </c>
    </row>
    <row r="122" spans="1:17" ht="20" customHeight="1" outlineLevel="1" x14ac:dyDescent="0.65">
      <c r="A122" s="14">
        <v>104</v>
      </c>
      <c r="B122" s="15" t="str">
        <f t="shared" si="31"/>
        <v>2080PuCP_Me</v>
      </c>
      <c r="C122" s="16" t="s">
        <v>184</v>
      </c>
      <c r="D122" s="54" t="s">
        <v>258</v>
      </c>
      <c r="E122" s="49"/>
      <c r="F122" s="49"/>
      <c r="G122" s="19" t="str">
        <f t="shared" si="32"/>
        <v>H:</v>
      </c>
      <c r="H122" s="19">
        <v>2000</v>
      </c>
      <c r="I122" s="20" t="str">
        <f t="shared" si="33"/>
        <v>W:</v>
      </c>
      <c r="J122" s="20">
        <v>800</v>
      </c>
      <c r="K122" s="21" t="str">
        <f t="shared" si="34"/>
        <v/>
      </c>
      <c r="L122" s="21"/>
      <c r="M122" s="22"/>
      <c r="N122" s="23" t="s">
        <v>198</v>
      </c>
      <c r="O122" s="24" t="s">
        <v>244</v>
      </c>
      <c r="P122" s="53" t="s">
        <v>254</v>
      </c>
      <c r="Q122" s="26" t="str">
        <f t="shared" si="35"/>
        <v>Puerta Corte Placa_Mediana  / H:2000W:800 mm</v>
      </c>
    </row>
    <row r="123" spans="1:17" ht="20" customHeight="1" outlineLevel="1" x14ac:dyDescent="0.65">
      <c r="A123" s="14">
        <v>105</v>
      </c>
      <c r="B123" s="15" t="str">
        <f t="shared" si="31"/>
        <v>2240PuCP_Me</v>
      </c>
      <c r="C123" s="16" t="s">
        <v>184</v>
      </c>
      <c r="D123" s="54" t="s">
        <v>259</v>
      </c>
      <c r="E123" s="49"/>
      <c r="F123" s="49"/>
      <c r="G123" s="19" t="str">
        <f t="shared" si="32"/>
        <v>H:</v>
      </c>
      <c r="H123" s="19">
        <v>2200</v>
      </c>
      <c r="I123" s="20" t="str">
        <f t="shared" si="33"/>
        <v>W:</v>
      </c>
      <c r="J123" s="20">
        <v>400</v>
      </c>
      <c r="K123" s="21" t="str">
        <f t="shared" si="34"/>
        <v/>
      </c>
      <c r="L123" s="21"/>
      <c r="M123" s="22"/>
      <c r="N123" s="23" t="s">
        <v>198</v>
      </c>
      <c r="O123" s="24" t="s">
        <v>244</v>
      </c>
      <c r="P123" s="53" t="s">
        <v>254</v>
      </c>
      <c r="Q123" s="26" t="str">
        <f t="shared" si="35"/>
        <v>Puerta Corte Placa_Mediana  / H:2200W:400 mm</v>
      </c>
    </row>
    <row r="124" spans="1:17" ht="20" customHeight="1" outlineLevel="1" x14ac:dyDescent="0.65">
      <c r="A124" s="14">
        <v>106</v>
      </c>
      <c r="B124" s="15" t="str">
        <f t="shared" si="31"/>
        <v>2272PuCP_Me</v>
      </c>
      <c r="C124" s="16" t="s">
        <v>184</v>
      </c>
      <c r="D124" s="54" t="s">
        <v>260</v>
      </c>
      <c r="E124" s="49"/>
      <c r="F124" s="49"/>
      <c r="G124" s="19" t="str">
        <f t="shared" si="32"/>
        <v>H:</v>
      </c>
      <c r="H124" s="19">
        <v>2200</v>
      </c>
      <c r="I124" s="20" t="str">
        <f t="shared" si="33"/>
        <v>W:</v>
      </c>
      <c r="J124" s="20">
        <v>720</v>
      </c>
      <c r="K124" s="21" t="str">
        <f t="shared" si="34"/>
        <v/>
      </c>
      <c r="L124" s="21"/>
      <c r="M124" s="22"/>
      <c r="N124" s="23" t="s">
        <v>198</v>
      </c>
      <c r="O124" s="24" t="s">
        <v>244</v>
      </c>
      <c r="P124" s="53" t="s">
        <v>254</v>
      </c>
      <c r="Q124" s="26" t="str">
        <f t="shared" si="35"/>
        <v>Puerta Corte Placa_Mediana  / H:2200W:720 mm</v>
      </c>
    </row>
    <row r="125" spans="1:17" ht="20" customHeight="1" outlineLevel="1" x14ac:dyDescent="0.65">
      <c r="A125" s="14">
        <v>107</v>
      </c>
      <c r="B125" s="15" t="str">
        <f t="shared" si="31"/>
        <v>2280PuCP_Me</v>
      </c>
      <c r="C125" s="16" t="s">
        <v>184</v>
      </c>
      <c r="D125" s="54" t="s">
        <v>261</v>
      </c>
      <c r="E125" s="49"/>
      <c r="F125" s="49"/>
      <c r="G125" s="19" t="str">
        <f t="shared" si="32"/>
        <v>H:</v>
      </c>
      <c r="H125" s="19">
        <v>2200</v>
      </c>
      <c r="I125" s="20" t="str">
        <f t="shared" si="33"/>
        <v>W:</v>
      </c>
      <c r="J125" s="20">
        <v>800</v>
      </c>
      <c r="K125" s="21" t="str">
        <f t="shared" si="34"/>
        <v/>
      </c>
      <c r="L125" s="21"/>
      <c r="M125" s="22"/>
      <c r="N125" s="23" t="s">
        <v>198</v>
      </c>
      <c r="O125" s="24" t="s">
        <v>244</v>
      </c>
      <c r="P125" s="53" t="s">
        <v>254</v>
      </c>
      <c r="Q125" s="26" t="str">
        <f t="shared" si="35"/>
        <v>Puerta Corte Placa_Mediana  / H:2200W:800 mm</v>
      </c>
    </row>
    <row r="126" spans="1:17" ht="20" customHeight="1" outlineLevel="1" x14ac:dyDescent="0.65">
      <c r="A126" s="14">
        <v>108</v>
      </c>
      <c r="B126" s="15" t="str">
        <f t="shared" si="31"/>
        <v>1872PuCP_Gr</v>
      </c>
      <c r="C126" s="16" t="s">
        <v>184</v>
      </c>
      <c r="D126" s="54" t="s">
        <v>262</v>
      </c>
      <c r="E126" s="49"/>
      <c r="F126" s="49"/>
      <c r="G126" s="19" t="str">
        <f t="shared" si="32"/>
        <v>H:</v>
      </c>
      <c r="H126" s="19">
        <v>1800</v>
      </c>
      <c r="I126" s="20" t="str">
        <f t="shared" si="33"/>
        <v>W:</v>
      </c>
      <c r="J126" s="20">
        <v>720</v>
      </c>
      <c r="K126" s="21" t="str">
        <f t="shared" si="34"/>
        <v/>
      </c>
      <c r="L126" s="21"/>
      <c r="M126" s="22"/>
      <c r="N126" s="23" t="s">
        <v>198</v>
      </c>
      <c r="O126" s="24" t="s">
        <v>244</v>
      </c>
      <c r="P126" s="53" t="s">
        <v>263</v>
      </c>
      <c r="Q126" s="26" t="str">
        <f t="shared" si="35"/>
        <v>Puerta Corte Placa_Grande / H:1800W:720 mm</v>
      </c>
    </row>
    <row r="127" spans="1:17" ht="20" customHeight="1" outlineLevel="1" x14ac:dyDescent="0.65">
      <c r="A127" s="14">
        <v>109</v>
      </c>
      <c r="B127" s="15" t="str">
        <f t="shared" si="31"/>
        <v>2040PuCP_Gr</v>
      </c>
      <c r="C127" s="16" t="s">
        <v>184</v>
      </c>
      <c r="D127" s="54" t="s">
        <v>264</v>
      </c>
      <c r="E127" s="49"/>
      <c r="F127" s="49"/>
      <c r="G127" s="19" t="str">
        <f t="shared" si="32"/>
        <v>H:</v>
      </c>
      <c r="H127" s="19">
        <v>2000</v>
      </c>
      <c r="I127" s="20" t="str">
        <f t="shared" si="33"/>
        <v>W:</v>
      </c>
      <c r="J127" s="20">
        <v>400</v>
      </c>
      <c r="K127" s="21" t="str">
        <f t="shared" si="34"/>
        <v/>
      </c>
      <c r="L127" s="21"/>
      <c r="M127" s="22"/>
      <c r="N127" s="23" t="s">
        <v>198</v>
      </c>
      <c r="O127" s="24" t="s">
        <v>244</v>
      </c>
      <c r="P127" s="53" t="s">
        <v>263</v>
      </c>
      <c r="Q127" s="26" t="str">
        <f t="shared" si="35"/>
        <v>Puerta Corte Placa_Grande / H:2000W:400 mm</v>
      </c>
    </row>
    <row r="128" spans="1:17" ht="20" customHeight="1" outlineLevel="1" x14ac:dyDescent="0.65">
      <c r="A128" s="14">
        <v>110</v>
      </c>
      <c r="B128" s="15" t="str">
        <f t="shared" si="31"/>
        <v>2072PuCP_Gr</v>
      </c>
      <c r="C128" s="16" t="s">
        <v>184</v>
      </c>
      <c r="D128" s="56" t="s">
        <v>265</v>
      </c>
      <c r="E128" s="49"/>
      <c r="F128" s="49"/>
      <c r="G128" s="19" t="str">
        <f t="shared" si="32"/>
        <v>H:</v>
      </c>
      <c r="H128" s="19">
        <v>2000</v>
      </c>
      <c r="I128" s="20" t="str">
        <f t="shared" si="33"/>
        <v>W:</v>
      </c>
      <c r="J128" s="20">
        <v>720</v>
      </c>
      <c r="K128" s="21" t="str">
        <f t="shared" si="34"/>
        <v/>
      </c>
      <c r="L128" s="21"/>
      <c r="M128" s="22"/>
      <c r="N128" s="23" t="s">
        <v>198</v>
      </c>
      <c r="O128" s="24" t="s">
        <v>244</v>
      </c>
      <c r="P128" s="53" t="s">
        <v>263</v>
      </c>
      <c r="Q128" s="26" t="str">
        <f t="shared" si="35"/>
        <v>Puerta Corte Placa_Grande / H:2000W:720 mm</v>
      </c>
    </row>
    <row r="129" spans="1:17" ht="20" customHeight="1" outlineLevel="1" x14ac:dyDescent="0.65">
      <c r="A129" s="14">
        <v>111</v>
      </c>
      <c r="B129" s="15" t="str">
        <f t="shared" si="31"/>
        <v>2080PuCP_Gr</v>
      </c>
      <c r="C129" s="16" t="s">
        <v>184</v>
      </c>
      <c r="D129" s="54" t="s">
        <v>266</v>
      </c>
      <c r="E129" s="49"/>
      <c r="F129" s="49"/>
      <c r="G129" s="19" t="str">
        <f t="shared" si="32"/>
        <v>H:</v>
      </c>
      <c r="H129" s="19">
        <v>2000</v>
      </c>
      <c r="I129" s="20" t="str">
        <f t="shared" si="33"/>
        <v>W:</v>
      </c>
      <c r="J129" s="20">
        <v>800</v>
      </c>
      <c r="K129" s="21" t="str">
        <f t="shared" si="34"/>
        <v/>
      </c>
      <c r="L129" s="21"/>
      <c r="M129" s="22"/>
      <c r="N129" s="23" t="s">
        <v>198</v>
      </c>
      <c r="O129" s="24" t="s">
        <v>244</v>
      </c>
      <c r="P129" s="53" t="s">
        <v>263</v>
      </c>
      <c r="Q129" s="26" t="str">
        <f t="shared" si="35"/>
        <v>Puerta Corte Placa_Grande / H:2000W:800 mm</v>
      </c>
    </row>
    <row r="130" spans="1:17" ht="20" customHeight="1" outlineLevel="1" x14ac:dyDescent="0.65">
      <c r="A130" s="14">
        <v>112</v>
      </c>
      <c r="B130" s="15" t="str">
        <f t="shared" si="31"/>
        <v>2240PuCP_Gr</v>
      </c>
      <c r="C130" s="16" t="s">
        <v>184</v>
      </c>
      <c r="D130" s="54" t="s">
        <v>267</v>
      </c>
      <c r="E130" s="49"/>
      <c r="F130" s="49"/>
      <c r="G130" s="19" t="str">
        <f t="shared" si="32"/>
        <v>H:</v>
      </c>
      <c r="H130" s="19">
        <v>2200</v>
      </c>
      <c r="I130" s="20" t="str">
        <f t="shared" si="33"/>
        <v>W:</v>
      </c>
      <c r="J130" s="20">
        <v>400</v>
      </c>
      <c r="K130" s="21" t="str">
        <f t="shared" si="34"/>
        <v/>
      </c>
      <c r="L130" s="21"/>
      <c r="M130" s="22"/>
      <c r="N130" s="23" t="s">
        <v>198</v>
      </c>
      <c r="O130" s="24" t="s">
        <v>244</v>
      </c>
      <c r="P130" s="53" t="s">
        <v>263</v>
      </c>
      <c r="Q130" s="26" t="str">
        <f t="shared" si="35"/>
        <v>Puerta Corte Placa_Grande / H:2200W:400 mm</v>
      </c>
    </row>
    <row r="131" spans="1:17" ht="20" customHeight="1" outlineLevel="1" x14ac:dyDescent="0.65">
      <c r="A131" s="14">
        <v>113</v>
      </c>
      <c r="B131" s="15" t="str">
        <f t="shared" si="31"/>
        <v>2272PuCP_Gr</v>
      </c>
      <c r="C131" s="16" t="s">
        <v>184</v>
      </c>
      <c r="D131" s="54" t="s">
        <v>268</v>
      </c>
      <c r="E131" s="49"/>
      <c r="F131" s="49"/>
      <c r="G131" s="19" t="str">
        <f t="shared" si="32"/>
        <v>H:</v>
      </c>
      <c r="H131" s="19">
        <v>2200</v>
      </c>
      <c r="I131" s="20" t="str">
        <f t="shared" si="33"/>
        <v>W:</v>
      </c>
      <c r="J131" s="20">
        <v>720</v>
      </c>
      <c r="K131" s="21" t="str">
        <f t="shared" si="34"/>
        <v/>
      </c>
      <c r="L131" s="21"/>
      <c r="M131" s="22"/>
      <c r="N131" s="23" t="s">
        <v>198</v>
      </c>
      <c r="O131" s="24" t="s">
        <v>244</v>
      </c>
      <c r="P131" s="53" t="s">
        <v>263</v>
      </c>
      <c r="Q131" s="26" t="str">
        <f t="shared" si="35"/>
        <v>Puerta Corte Placa_Grande / H:2200W:720 mm</v>
      </c>
    </row>
    <row r="132" spans="1:17" ht="20" customHeight="1" outlineLevel="1" x14ac:dyDescent="0.65">
      <c r="A132" s="14">
        <v>114</v>
      </c>
      <c r="B132" s="15" t="str">
        <f t="shared" si="31"/>
        <v>2280PuCP_Gr</v>
      </c>
      <c r="C132" s="16" t="s">
        <v>184</v>
      </c>
      <c r="D132" s="54" t="s">
        <v>269</v>
      </c>
      <c r="E132" s="49"/>
      <c r="F132" s="49"/>
      <c r="G132" s="19" t="str">
        <f t="shared" si="32"/>
        <v>H:</v>
      </c>
      <c r="H132" s="19">
        <v>2200</v>
      </c>
      <c r="I132" s="20" t="str">
        <f t="shared" si="33"/>
        <v>W:</v>
      </c>
      <c r="J132" s="20">
        <v>800</v>
      </c>
      <c r="K132" s="21" t="str">
        <f t="shared" si="34"/>
        <v/>
      </c>
      <c r="L132" s="21"/>
      <c r="M132" s="22"/>
      <c r="N132" s="23" t="s">
        <v>198</v>
      </c>
      <c r="O132" s="24" t="s">
        <v>244</v>
      </c>
      <c r="P132" s="53" t="s">
        <v>263</v>
      </c>
      <c r="Q132" s="26" t="str">
        <f t="shared" si="35"/>
        <v>Puerta Corte Placa_Grande / H:2200W:800 mm</v>
      </c>
    </row>
    <row r="133" spans="1:17" ht="20" customHeight="1" outlineLevel="1" x14ac:dyDescent="0.65">
      <c r="A133" s="14">
        <v>115</v>
      </c>
      <c r="B133" s="15" t="str">
        <f t="shared" si="31"/>
        <v>1840PuCD_SE</v>
      </c>
      <c r="C133" s="16" t="s">
        <v>184</v>
      </c>
      <c r="D133" s="54" t="s">
        <v>270</v>
      </c>
      <c r="E133" s="49"/>
      <c r="F133" s="49"/>
      <c r="G133" s="19" t="str">
        <f t="shared" si="32"/>
        <v>H:</v>
      </c>
      <c r="H133" s="19">
        <v>1800</v>
      </c>
      <c r="I133" s="20" t="str">
        <f t="shared" si="33"/>
        <v>W:</v>
      </c>
      <c r="J133" s="20">
        <v>400</v>
      </c>
      <c r="K133" s="21" t="str">
        <f t="shared" si="34"/>
        <v/>
      </c>
      <c r="L133" s="21"/>
      <c r="M133" s="22"/>
      <c r="N133" s="23" t="s">
        <v>198</v>
      </c>
      <c r="O133" s="24" t="s">
        <v>271</v>
      </c>
      <c r="P133" s="53" t="s">
        <v>272</v>
      </c>
      <c r="Q133" s="26" t="str">
        <f t="shared" si="35"/>
        <v>Puerta Corte Doble_SE-223*223 / H:1800W:400 mm</v>
      </c>
    </row>
    <row r="134" spans="1:17" ht="20" customHeight="1" outlineLevel="1" x14ac:dyDescent="0.65">
      <c r="A134" s="14">
        <v>116</v>
      </c>
      <c r="B134" s="15" t="str">
        <f t="shared" si="31"/>
        <v>1872PuCD_SE</v>
      </c>
      <c r="C134" s="16" t="s">
        <v>184</v>
      </c>
      <c r="D134" s="54" t="s">
        <v>273</v>
      </c>
      <c r="E134" s="49"/>
      <c r="F134" s="49"/>
      <c r="G134" s="19" t="str">
        <f t="shared" si="32"/>
        <v>H:</v>
      </c>
      <c r="H134" s="19">
        <v>1800</v>
      </c>
      <c r="I134" s="20" t="str">
        <f t="shared" si="33"/>
        <v>W:</v>
      </c>
      <c r="J134" s="20">
        <v>720</v>
      </c>
      <c r="K134" s="21" t="str">
        <f t="shared" si="34"/>
        <v/>
      </c>
      <c r="L134" s="21"/>
      <c r="M134" s="22"/>
      <c r="N134" s="23" t="s">
        <v>198</v>
      </c>
      <c r="O134" s="24" t="s">
        <v>271</v>
      </c>
      <c r="P134" s="53" t="s">
        <v>272</v>
      </c>
      <c r="Q134" s="26" t="str">
        <f t="shared" si="35"/>
        <v>Puerta Corte Doble_SE-223*223 / H:1800W:720 mm</v>
      </c>
    </row>
    <row r="135" spans="1:17" ht="20" customHeight="1" outlineLevel="1" x14ac:dyDescent="0.65">
      <c r="A135" s="14">
        <v>117</v>
      </c>
      <c r="B135" s="15" t="str">
        <f t="shared" si="31"/>
        <v>2040PuCD_SE</v>
      </c>
      <c r="C135" s="16" t="s">
        <v>184</v>
      </c>
      <c r="D135" s="54" t="s">
        <v>274</v>
      </c>
      <c r="E135" s="49"/>
      <c r="F135" s="49"/>
      <c r="G135" s="19" t="str">
        <f t="shared" si="32"/>
        <v>H:</v>
      </c>
      <c r="H135" s="19">
        <v>2000</v>
      </c>
      <c r="I135" s="20" t="str">
        <f t="shared" si="33"/>
        <v>W:</v>
      </c>
      <c r="J135" s="20">
        <v>400</v>
      </c>
      <c r="K135" s="21" t="str">
        <f t="shared" si="34"/>
        <v/>
      </c>
      <c r="L135" s="21"/>
      <c r="M135" s="22"/>
      <c r="N135" s="23" t="s">
        <v>198</v>
      </c>
      <c r="O135" s="24" t="s">
        <v>271</v>
      </c>
      <c r="P135" s="53" t="s">
        <v>272</v>
      </c>
      <c r="Q135" s="26" t="str">
        <f t="shared" si="35"/>
        <v>Puerta Corte Doble_SE-223*223 / H:2000W:400 mm</v>
      </c>
    </row>
    <row r="136" spans="1:17" ht="20" customHeight="1" outlineLevel="1" x14ac:dyDescent="0.65">
      <c r="A136" s="14">
        <v>118</v>
      </c>
      <c r="B136" s="15" t="str">
        <f t="shared" si="31"/>
        <v>2072PuCD_SE</v>
      </c>
      <c r="C136" s="16" t="s">
        <v>184</v>
      </c>
      <c r="D136" s="54" t="s">
        <v>275</v>
      </c>
      <c r="E136" s="49"/>
      <c r="F136" s="49"/>
      <c r="G136" s="19" t="str">
        <f t="shared" si="32"/>
        <v>H:</v>
      </c>
      <c r="H136" s="19">
        <v>2000</v>
      </c>
      <c r="I136" s="20" t="str">
        <f t="shared" si="33"/>
        <v>W:</v>
      </c>
      <c r="J136" s="20">
        <v>720</v>
      </c>
      <c r="K136" s="21" t="str">
        <f t="shared" si="34"/>
        <v/>
      </c>
      <c r="L136" s="21"/>
      <c r="M136" s="22"/>
      <c r="N136" s="23" t="s">
        <v>198</v>
      </c>
      <c r="O136" s="24" t="s">
        <v>271</v>
      </c>
      <c r="P136" s="53" t="s">
        <v>272</v>
      </c>
      <c r="Q136" s="26" t="str">
        <f t="shared" si="35"/>
        <v>Puerta Corte Doble_SE-223*223 / H:2000W:720 mm</v>
      </c>
    </row>
    <row r="137" spans="1:17" ht="20" customHeight="1" outlineLevel="1" x14ac:dyDescent="0.65">
      <c r="A137" s="14">
        <v>119</v>
      </c>
      <c r="B137" s="15" t="str">
        <f t="shared" si="31"/>
        <v>2080PuCD_SE</v>
      </c>
      <c r="C137" s="16" t="s">
        <v>184</v>
      </c>
      <c r="D137" s="54" t="s">
        <v>276</v>
      </c>
      <c r="E137" s="49"/>
      <c r="F137" s="49"/>
      <c r="G137" s="19" t="str">
        <f t="shared" si="32"/>
        <v>H:</v>
      </c>
      <c r="H137" s="19">
        <v>2000</v>
      </c>
      <c r="I137" s="20" t="str">
        <f t="shared" si="33"/>
        <v>W:</v>
      </c>
      <c r="J137" s="20">
        <v>800</v>
      </c>
      <c r="K137" s="21" t="str">
        <f t="shared" si="34"/>
        <v/>
      </c>
      <c r="L137" s="21"/>
      <c r="M137" s="22"/>
      <c r="N137" s="23" t="s">
        <v>198</v>
      </c>
      <c r="O137" s="24" t="s">
        <v>271</v>
      </c>
      <c r="P137" s="53" t="s">
        <v>272</v>
      </c>
      <c r="Q137" s="26" t="str">
        <f t="shared" si="35"/>
        <v>Puerta Corte Doble_SE-223*223 / H:2000W:800 mm</v>
      </c>
    </row>
    <row r="138" spans="1:17" ht="20" customHeight="1" outlineLevel="1" x14ac:dyDescent="0.65">
      <c r="A138" s="14">
        <v>120</v>
      </c>
      <c r="B138" s="15" t="str">
        <f t="shared" si="31"/>
        <v>2240PuCD_SE</v>
      </c>
      <c r="C138" s="16" t="s">
        <v>184</v>
      </c>
      <c r="D138" s="54" t="s">
        <v>277</v>
      </c>
      <c r="E138" s="49"/>
      <c r="F138" s="49"/>
      <c r="G138" s="19" t="str">
        <f t="shared" si="32"/>
        <v>H:</v>
      </c>
      <c r="H138" s="19">
        <v>2200</v>
      </c>
      <c r="I138" s="20" t="str">
        <f t="shared" si="33"/>
        <v>W:</v>
      </c>
      <c r="J138" s="20">
        <v>400</v>
      </c>
      <c r="K138" s="21" t="str">
        <f t="shared" si="34"/>
        <v/>
      </c>
      <c r="L138" s="21"/>
      <c r="M138" s="22"/>
      <c r="N138" s="23" t="s">
        <v>198</v>
      </c>
      <c r="O138" s="24" t="s">
        <v>271</v>
      </c>
      <c r="P138" s="53" t="s">
        <v>272</v>
      </c>
      <c r="Q138" s="26" t="str">
        <f t="shared" si="35"/>
        <v>Puerta Corte Doble_SE-223*223 / H:2200W:400 mm</v>
      </c>
    </row>
    <row r="139" spans="1:17" ht="20" customHeight="1" outlineLevel="1" x14ac:dyDescent="0.65">
      <c r="A139" s="14">
        <v>121</v>
      </c>
      <c r="B139" s="15" t="str">
        <f t="shared" si="31"/>
        <v>2272PuCD_SE</v>
      </c>
      <c r="C139" s="16" t="s">
        <v>184</v>
      </c>
      <c r="D139" s="54" t="s">
        <v>278</v>
      </c>
      <c r="E139" s="49"/>
      <c r="F139" s="49"/>
      <c r="G139" s="19" t="str">
        <f t="shared" si="32"/>
        <v>H:</v>
      </c>
      <c r="H139" s="19">
        <v>2200</v>
      </c>
      <c r="I139" s="20" t="str">
        <f t="shared" si="33"/>
        <v>W:</v>
      </c>
      <c r="J139" s="20">
        <v>720</v>
      </c>
      <c r="K139" s="21" t="str">
        <f t="shared" si="34"/>
        <v/>
      </c>
      <c r="L139" s="21"/>
      <c r="M139" s="22"/>
      <c r="N139" s="23" t="s">
        <v>198</v>
      </c>
      <c r="O139" s="24" t="s">
        <v>271</v>
      </c>
      <c r="P139" s="53" t="s">
        <v>272</v>
      </c>
      <c r="Q139" s="26" t="str">
        <f t="shared" si="35"/>
        <v>Puerta Corte Doble_SE-223*223 / H:2200W:720 mm</v>
      </c>
    </row>
    <row r="140" spans="1:17" ht="20" customHeight="1" outlineLevel="1" x14ac:dyDescent="0.65">
      <c r="A140" s="14">
        <v>122</v>
      </c>
      <c r="B140" s="15" t="str">
        <f t="shared" si="31"/>
        <v>2280PuCD_SE</v>
      </c>
      <c r="C140" s="16" t="s">
        <v>184</v>
      </c>
      <c r="D140" s="54" t="s">
        <v>279</v>
      </c>
      <c r="E140" s="49"/>
      <c r="F140" s="49"/>
      <c r="G140" s="19" t="str">
        <f t="shared" si="32"/>
        <v>H:</v>
      </c>
      <c r="H140" s="19">
        <v>2200</v>
      </c>
      <c r="I140" s="20" t="str">
        <f t="shared" si="33"/>
        <v>W:</v>
      </c>
      <c r="J140" s="20">
        <v>800</v>
      </c>
      <c r="K140" s="21" t="str">
        <f t="shared" si="34"/>
        <v/>
      </c>
      <c r="L140" s="21"/>
      <c r="M140" s="22"/>
      <c r="N140" s="23" t="s">
        <v>198</v>
      </c>
      <c r="O140" s="24" t="s">
        <v>271</v>
      </c>
      <c r="P140" s="53" t="s">
        <v>272</v>
      </c>
      <c r="Q140" s="26" t="str">
        <f t="shared" si="35"/>
        <v>Puerta Corte Doble_SE-223*223 / H:2200W:800 mm</v>
      </c>
    </row>
    <row r="141" spans="1:17" ht="20" customHeight="1" outlineLevel="1" x14ac:dyDescent="0.65">
      <c r="A141" s="14">
        <v>123</v>
      </c>
      <c r="B141" s="15" t="str">
        <f t="shared" si="31"/>
        <v>1840PuCD_NG</v>
      </c>
      <c r="C141" s="16" t="s">
        <v>184</v>
      </c>
      <c r="D141" s="54" t="s">
        <v>280</v>
      </c>
      <c r="E141" s="49"/>
      <c r="F141" s="49"/>
      <c r="G141" s="19" t="str">
        <f t="shared" si="32"/>
        <v>H:</v>
      </c>
      <c r="H141" s="19">
        <v>1800</v>
      </c>
      <c r="I141" s="20" t="str">
        <f t="shared" si="33"/>
        <v>W:</v>
      </c>
      <c r="J141" s="20">
        <v>400</v>
      </c>
      <c r="K141" s="21" t="str">
        <f t="shared" si="34"/>
        <v/>
      </c>
      <c r="L141" s="21"/>
      <c r="M141" s="22"/>
      <c r="N141" s="23" t="s">
        <v>198</v>
      </c>
      <c r="O141" s="24" t="s">
        <v>271</v>
      </c>
      <c r="P141" s="53" t="s">
        <v>208</v>
      </c>
      <c r="Q141" s="26" t="str">
        <f t="shared" si="35"/>
        <v>Puerta Corte Doble_NG-229*229 / H:1800W:400 mm</v>
      </c>
    </row>
    <row r="142" spans="1:17" ht="20" customHeight="1" outlineLevel="1" x14ac:dyDescent="0.65">
      <c r="A142" s="14">
        <v>124</v>
      </c>
      <c r="B142" s="15" t="str">
        <f t="shared" si="31"/>
        <v>1872PuCD_NG</v>
      </c>
      <c r="C142" s="16" t="s">
        <v>184</v>
      </c>
      <c r="D142" s="54" t="s">
        <v>281</v>
      </c>
      <c r="E142" s="49"/>
      <c r="F142" s="49"/>
      <c r="G142" s="19" t="str">
        <f t="shared" si="32"/>
        <v>H:</v>
      </c>
      <c r="H142" s="19">
        <v>1800</v>
      </c>
      <c r="I142" s="20" t="str">
        <f t="shared" si="33"/>
        <v>W:</v>
      </c>
      <c r="J142" s="20">
        <v>720</v>
      </c>
      <c r="K142" s="21" t="str">
        <f t="shared" si="34"/>
        <v/>
      </c>
      <c r="L142" s="21"/>
      <c r="M142" s="22"/>
      <c r="N142" s="23" t="s">
        <v>198</v>
      </c>
      <c r="O142" s="24" t="s">
        <v>271</v>
      </c>
      <c r="P142" s="53" t="s">
        <v>208</v>
      </c>
      <c r="Q142" s="26" t="str">
        <f t="shared" si="35"/>
        <v>Puerta Corte Doble_NG-229*229 / H:1800W:720 mm</v>
      </c>
    </row>
    <row r="143" spans="1:17" ht="20" customHeight="1" outlineLevel="1" x14ac:dyDescent="0.65">
      <c r="A143" s="14">
        <v>125</v>
      </c>
      <c r="B143" s="15" t="str">
        <f t="shared" si="31"/>
        <v>2040PuCD_NG</v>
      </c>
      <c r="C143" s="16" t="s">
        <v>184</v>
      </c>
      <c r="D143" s="54" t="s">
        <v>282</v>
      </c>
      <c r="E143" s="49"/>
      <c r="F143" s="49"/>
      <c r="G143" s="19" t="str">
        <f t="shared" si="32"/>
        <v>H:</v>
      </c>
      <c r="H143" s="19">
        <v>2000</v>
      </c>
      <c r="I143" s="20" t="str">
        <f t="shared" si="33"/>
        <v>W:</v>
      </c>
      <c r="J143" s="20">
        <v>400</v>
      </c>
      <c r="K143" s="21" t="str">
        <f t="shared" si="34"/>
        <v/>
      </c>
      <c r="L143" s="21"/>
      <c r="M143" s="22"/>
      <c r="N143" s="23" t="s">
        <v>198</v>
      </c>
      <c r="O143" s="24" t="s">
        <v>271</v>
      </c>
      <c r="P143" s="53" t="s">
        <v>208</v>
      </c>
      <c r="Q143" s="26" t="str">
        <f t="shared" si="35"/>
        <v>Puerta Corte Doble_NG-229*229 / H:2000W:400 mm</v>
      </c>
    </row>
    <row r="144" spans="1:17" ht="20" customHeight="1" outlineLevel="1" x14ac:dyDescent="0.65">
      <c r="A144" s="14">
        <v>126</v>
      </c>
      <c r="B144" s="15" t="str">
        <f t="shared" si="31"/>
        <v>2072PuCD_NG</v>
      </c>
      <c r="C144" s="16" t="s">
        <v>184</v>
      </c>
      <c r="D144" s="54" t="s">
        <v>283</v>
      </c>
      <c r="E144" s="49"/>
      <c r="F144" s="49"/>
      <c r="G144" s="19" t="str">
        <f t="shared" si="32"/>
        <v>H:</v>
      </c>
      <c r="H144" s="19">
        <v>2000</v>
      </c>
      <c r="I144" s="20" t="str">
        <f t="shared" si="33"/>
        <v>W:</v>
      </c>
      <c r="J144" s="20">
        <v>720</v>
      </c>
      <c r="K144" s="21" t="str">
        <f t="shared" si="34"/>
        <v/>
      </c>
      <c r="L144" s="21"/>
      <c r="M144" s="22"/>
      <c r="N144" s="23" t="s">
        <v>198</v>
      </c>
      <c r="O144" s="24" t="s">
        <v>271</v>
      </c>
      <c r="P144" s="53" t="s">
        <v>208</v>
      </c>
      <c r="Q144" s="26" t="str">
        <f t="shared" si="35"/>
        <v>Puerta Corte Doble_NG-229*229 / H:2000W:720 mm</v>
      </c>
    </row>
    <row r="145" spans="1:17" ht="20" customHeight="1" outlineLevel="1" x14ac:dyDescent="0.65">
      <c r="A145" s="14">
        <v>127</v>
      </c>
      <c r="B145" s="15" t="str">
        <f t="shared" si="31"/>
        <v>2080PuCD_NG</v>
      </c>
      <c r="C145" s="16" t="s">
        <v>184</v>
      </c>
      <c r="D145" s="54" t="s">
        <v>284</v>
      </c>
      <c r="E145" s="49"/>
      <c r="F145" s="49"/>
      <c r="G145" s="19" t="str">
        <f t="shared" si="32"/>
        <v>H:</v>
      </c>
      <c r="H145" s="19">
        <v>2000</v>
      </c>
      <c r="I145" s="20" t="str">
        <f t="shared" si="33"/>
        <v>W:</v>
      </c>
      <c r="J145" s="20">
        <v>800</v>
      </c>
      <c r="K145" s="21" t="str">
        <f t="shared" si="34"/>
        <v/>
      </c>
      <c r="L145" s="21"/>
      <c r="M145" s="22"/>
      <c r="N145" s="23" t="s">
        <v>198</v>
      </c>
      <c r="O145" s="24" t="s">
        <v>271</v>
      </c>
      <c r="P145" s="53" t="s">
        <v>208</v>
      </c>
      <c r="Q145" s="26" t="str">
        <f t="shared" si="35"/>
        <v>Puerta Corte Doble_NG-229*229 / H:2000W:800 mm</v>
      </c>
    </row>
    <row r="146" spans="1:17" ht="20" customHeight="1" outlineLevel="1" x14ac:dyDescent="0.65">
      <c r="A146" s="14">
        <v>128</v>
      </c>
      <c r="B146" s="15" t="str">
        <f t="shared" si="31"/>
        <v>2240PuCD_NG</v>
      </c>
      <c r="C146" s="16" t="s">
        <v>184</v>
      </c>
      <c r="D146" s="54" t="s">
        <v>285</v>
      </c>
      <c r="E146" s="49"/>
      <c r="F146" s="49"/>
      <c r="G146" s="19" t="str">
        <f t="shared" si="32"/>
        <v>H:</v>
      </c>
      <c r="H146" s="19">
        <v>2200</v>
      </c>
      <c r="I146" s="20" t="str">
        <f t="shared" si="33"/>
        <v>W:</v>
      </c>
      <c r="J146" s="20">
        <v>400</v>
      </c>
      <c r="K146" s="21" t="str">
        <f t="shared" si="34"/>
        <v/>
      </c>
      <c r="L146" s="21"/>
      <c r="M146" s="22"/>
      <c r="N146" s="23" t="s">
        <v>198</v>
      </c>
      <c r="O146" s="24" t="s">
        <v>271</v>
      </c>
      <c r="P146" s="53" t="s">
        <v>208</v>
      </c>
      <c r="Q146" s="26" t="str">
        <f t="shared" si="35"/>
        <v>Puerta Corte Doble_NG-229*229 / H:2200W:400 mm</v>
      </c>
    </row>
    <row r="147" spans="1:17" ht="20" customHeight="1" outlineLevel="1" x14ac:dyDescent="0.65">
      <c r="A147" s="14">
        <v>129</v>
      </c>
      <c r="B147" s="15" t="str">
        <f t="shared" ref="B147:B210" si="36">MID(H147,1,2)&amp;MID(J147,1,2)&amp;MID(L147,1,2)&amp;MID(C147,1,2)&amp;MID(M147,1,1)&amp;MID(N147,1,1)&amp;MID(O147,1,1)&amp;MID(P147,1,3)</f>
        <v>2272PuCD_NG</v>
      </c>
      <c r="C147" s="16" t="s">
        <v>184</v>
      </c>
      <c r="D147" s="54" t="s">
        <v>286</v>
      </c>
      <c r="E147" s="49"/>
      <c r="F147" s="49"/>
      <c r="G147" s="19" t="str">
        <f t="shared" ref="G147:G210" si="37">IF(H147&lt;&gt;"","H:","")</f>
        <v>H:</v>
      </c>
      <c r="H147" s="19">
        <v>2200</v>
      </c>
      <c r="I147" s="20" t="str">
        <f t="shared" ref="I147:I210" si="38">IF(J147&lt;&gt;"","W:","")</f>
        <v>W:</v>
      </c>
      <c r="J147" s="20">
        <v>720</v>
      </c>
      <c r="K147" s="21" t="str">
        <f t="shared" ref="K147:K210" si="39">IF(L147&lt;&gt;"","D:","")</f>
        <v/>
      </c>
      <c r="L147" s="21"/>
      <c r="M147" s="22"/>
      <c r="N147" s="23" t="s">
        <v>198</v>
      </c>
      <c r="O147" s="24" t="s">
        <v>271</v>
      </c>
      <c r="P147" s="53" t="s">
        <v>208</v>
      </c>
      <c r="Q147" s="26" t="str">
        <f t="shared" ref="Q147:Q210" si="40">IF(B147&lt;&gt;"",(C147&amp;M147&amp;N147&amp;O147&amp;P147&amp;" / "&amp;G147&amp;H147&amp;I147&amp;J147&amp;K147&amp;L147&amp;" mm"),"")</f>
        <v>Puerta Corte Doble_NG-229*229 / H:2200W:720 mm</v>
      </c>
    </row>
    <row r="148" spans="1:17" ht="20" customHeight="1" outlineLevel="1" x14ac:dyDescent="0.65">
      <c r="A148" s="14">
        <v>130</v>
      </c>
      <c r="B148" s="15" t="str">
        <f t="shared" si="36"/>
        <v>2280PuCD_NG</v>
      </c>
      <c r="C148" s="16" t="s">
        <v>184</v>
      </c>
      <c r="D148" s="54" t="s">
        <v>287</v>
      </c>
      <c r="E148" s="49"/>
      <c r="F148" s="49"/>
      <c r="G148" s="19" t="str">
        <f t="shared" si="37"/>
        <v>H:</v>
      </c>
      <c r="H148" s="19">
        <v>2200</v>
      </c>
      <c r="I148" s="20" t="str">
        <f t="shared" si="38"/>
        <v>W:</v>
      </c>
      <c r="J148" s="20">
        <v>800</v>
      </c>
      <c r="K148" s="21" t="str">
        <f t="shared" si="39"/>
        <v/>
      </c>
      <c r="L148" s="21"/>
      <c r="M148" s="22"/>
      <c r="N148" s="23" t="s">
        <v>198</v>
      </c>
      <c r="O148" s="24" t="s">
        <v>271</v>
      </c>
      <c r="P148" s="53" t="s">
        <v>208</v>
      </c>
      <c r="Q148" s="26" t="str">
        <f t="shared" si="40"/>
        <v>Puerta Corte Doble_NG-229*229 / H:2200W:800 mm</v>
      </c>
    </row>
    <row r="149" spans="1:17" ht="20" customHeight="1" outlineLevel="1" x14ac:dyDescent="0.65">
      <c r="A149" s="14">
        <v>131</v>
      </c>
      <c r="B149" s="15" t="str">
        <f t="shared" si="36"/>
        <v>1840PuCD_NM</v>
      </c>
      <c r="C149" s="16" t="s">
        <v>184</v>
      </c>
      <c r="D149" s="54" t="s">
        <v>288</v>
      </c>
      <c r="E149" s="49"/>
      <c r="F149" s="49"/>
      <c r="G149" s="19" t="str">
        <f t="shared" si="37"/>
        <v>H:</v>
      </c>
      <c r="H149" s="19">
        <v>1800</v>
      </c>
      <c r="I149" s="20" t="str">
        <f t="shared" si="38"/>
        <v>W:</v>
      </c>
      <c r="J149" s="20">
        <v>400</v>
      </c>
      <c r="K149" s="21" t="str">
        <f t="shared" si="39"/>
        <v/>
      </c>
      <c r="L149" s="21"/>
      <c r="M149" s="22"/>
      <c r="N149" s="23" t="s">
        <v>198</v>
      </c>
      <c r="O149" s="24" t="s">
        <v>271</v>
      </c>
      <c r="P149" s="53" t="s">
        <v>217</v>
      </c>
      <c r="Q149" s="26" t="str">
        <f t="shared" si="40"/>
        <v>Puerta Corte Doble_NM-180*180 / H:1800W:400 mm</v>
      </c>
    </row>
    <row r="150" spans="1:17" ht="20" customHeight="1" outlineLevel="1" x14ac:dyDescent="0.65">
      <c r="A150" s="14">
        <v>132</v>
      </c>
      <c r="B150" s="15" t="str">
        <f t="shared" si="36"/>
        <v>1872PuCD_NM</v>
      </c>
      <c r="C150" s="16" t="s">
        <v>184</v>
      </c>
      <c r="D150" s="54" t="s">
        <v>289</v>
      </c>
      <c r="E150" s="49"/>
      <c r="F150" s="49"/>
      <c r="G150" s="19" t="str">
        <f t="shared" si="37"/>
        <v>H:</v>
      </c>
      <c r="H150" s="19">
        <v>1800</v>
      </c>
      <c r="I150" s="20" t="str">
        <f t="shared" si="38"/>
        <v>W:</v>
      </c>
      <c r="J150" s="20">
        <v>720</v>
      </c>
      <c r="K150" s="21" t="str">
        <f t="shared" si="39"/>
        <v/>
      </c>
      <c r="L150" s="21"/>
      <c r="M150" s="22"/>
      <c r="N150" s="23" t="s">
        <v>198</v>
      </c>
      <c r="O150" s="24" t="s">
        <v>271</v>
      </c>
      <c r="P150" s="53" t="s">
        <v>217</v>
      </c>
      <c r="Q150" s="26" t="str">
        <f t="shared" si="40"/>
        <v>Puerta Corte Doble_NM-180*180 / H:1800W:720 mm</v>
      </c>
    </row>
    <row r="151" spans="1:17" ht="20" customHeight="1" outlineLevel="1" x14ac:dyDescent="0.65">
      <c r="A151" s="14">
        <v>133</v>
      </c>
      <c r="B151" s="15" t="str">
        <f t="shared" si="36"/>
        <v>2040PuCD_NM</v>
      </c>
      <c r="C151" s="16" t="s">
        <v>184</v>
      </c>
      <c r="D151" s="54" t="s">
        <v>290</v>
      </c>
      <c r="E151" s="49"/>
      <c r="F151" s="49"/>
      <c r="G151" s="19" t="str">
        <f t="shared" si="37"/>
        <v>H:</v>
      </c>
      <c r="H151" s="19">
        <v>2000</v>
      </c>
      <c r="I151" s="20" t="str">
        <f t="shared" si="38"/>
        <v>W:</v>
      </c>
      <c r="J151" s="20">
        <v>400</v>
      </c>
      <c r="K151" s="21" t="str">
        <f t="shared" si="39"/>
        <v/>
      </c>
      <c r="L151" s="21"/>
      <c r="M151" s="22"/>
      <c r="N151" s="23" t="s">
        <v>198</v>
      </c>
      <c r="O151" s="24" t="s">
        <v>271</v>
      </c>
      <c r="P151" s="53" t="s">
        <v>217</v>
      </c>
      <c r="Q151" s="26" t="str">
        <f t="shared" si="40"/>
        <v>Puerta Corte Doble_NM-180*180 / H:2000W:400 mm</v>
      </c>
    </row>
    <row r="152" spans="1:17" ht="20" customHeight="1" outlineLevel="1" x14ac:dyDescent="0.65">
      <c r="A152" s="14">
        <v>134</v>
      </c>
      <c r="B152" s="15" t="str">
        <f t="shared" si="36"/>
        <v>2072PuCD_NM</v>
      </c>
      <c r="C152" s="16" t="s">
        <v>184</v>
      </c>
      <c r="D152" s="54" t="s">
        <v>291</v>
      </c>
      <c r="E152" s="49"/>
      <c r="F152" s="49"/>
      <c r="G152" s="19" t="str">
        <f t="shared" si="37"/>
        <v>H:</v>
      </c>
      <c r="H152" s="19">
        <v>2000</v>
      </c>
      <c r="I152" s="20" t="str">
        <f t="shared" si="38"/>
        <v>W:</v>
      </c>
      <c r="J152" s="20">
        <v>720</v>
      </c>
      <c r="K152" s="21" t="str">
        <f t="shared" si="39"/>
        <v/>
      </c>
      <c r="L152" s="21"/>
      <c r="M152" s="22"/>
      <c r="N152" s="23" t="s">
        <v>198</v>
      </c>
      <c r="O152" s="24" t="s">
        <v>271</v>
      </c>
      <c r="P152" s="53" t="s">
        <v>217</v>
      </c>
      <c r="Q152" s="26" t="str">
        <f t="shared" si="40"/>
        <v>Puerta Corte Doble_NM-180*180 / H:2000W:720 mm</v>
      </c>
    </row>
    <row r="153" spans="1:17" ht="20" customHeight="1" outlineLevel="1" x14ac:dyDescent="0.65">
      <c r="A153" s="14">
        <v>135</v>
      </c>
      <c r="B153" s="15" t="str">
        <f t="shared" si="36"/>
        <v>2080PuCD_NM</v>
      </c>
      <c r="C153" s="16" t="s">
        <v>184</v>
      </c>
      <c r="D153" s="54" t="s">
        <v>292</v>
      </c>
      <c r="E153" s="49"/>
      <c r="F153" s="49"/>
      <c r="G153" s="19" t="str">
        <f t="shared" si="37"/>
        <v>H:</v>
      </c>
      <c r="H153" s="19">
        <v>2000</v>
      </c>
      <c r="I153" s="20" t="str">
        <f t="shared" si="38"/>
        <v>W:</v>
      </c>
      <c r="J153" s="20">
        <v>800</v>
      </c>
      <c r="K153" s="21" t="str">
        <f t="shared" si="39"/>
        <v/>
      </c>
      <c r="L153" s="21"/>
      <c r="M153" s="22"/>
      <c r="N153" s="23" t="s">
        <v>198</v>
      </c>
      <c r="O153" s="24" t="s">
        <v>271</v>
      </c>
      <c r="P153" s="53" t="s">
        <v>217</v>
      </c>
      <c r="Q153" s="26" t="str">
        <f t="shared" si="40"/>
        <v>Puerta Corte Doble_NM-180*180 / H:2000W:800 mm</v>
      </c>
    </row>
    <row r="154" spans="1:17" ht="20" customHeight="1" outlineLevel="1" x14ac:dyDescent="0.65">
      <c r="A154" s="14">
        <v>136</v>
      </c>
      <c r="B154" s="15" t="str">
        <f t="shared" si="36"/>
        <v>2240PuCD_NM</v>
      </c>
      <c r="C154" s="16" t="s">
        <v>184</v>
      </c>
      <c r="D154" s="54" t="s">
        <v>293</v>
      </c>
      <c r="E154" s="49"/>
      <c r="F154" s="49"/>
      <c r="G154" s="19" t="str">
        <f t="shared" si="37"/>
        <v>H:</v>
      </c>
      <c r="H154" s="19">
        <v>2200</v>
      </c>
      <c r="I154" s="20" t="str">
        <f t="shared" si="38"/>
        <v>W:</v>
      </c>
      <c r="J154" s="20">
        <v>400</v>
      </c>
      <c r="K154" s="21" t="str">
        <f t="shared" si="39"/>
        <v/>
      </c>
      <c r="L154" s="21"/>
      <c r="M154" s="22"/>
      <c r="N154" s="23" t="s">
        <v>198</v>
      </c>
      <c r="O154" s="24" t="s">
        <v>271</v>
      </c>
      <c r="P154" s="53" t="s">
        <v>217</v>
      </c>
      <c r="Q154" s="26" t="str">
        <f t="shared" si="40"/>
        <v>Puerta Corte Doble_NM-180*180 / H:2200W:400 mm</v>
      </c>
    </row>
    <row r="155" spans="1:17" ht="20" customHeight="1" outlineLevel="1" x14ac:dyDescent="0.65">
      <c r="A155" s="14">
        <v>137</v>
      </c>
      <c r="B155" s="15" t="str">
        <f t="shared" si="36"/>
        <v>2272PuCD_NM</v>
      </c>
      <c r="C155" s="16" t="s">
        <v>184</v>
      </c>
      <c r="D155" s="54" t="s">
        <v>294</v>
      </c>
      <c r="E155" s="49"/>
      <c r="F155" s="49"/>
      <c r="G155" s="19" t="str">
        <f t="shared" si="37"/>
        <v>H:</v>
      </c>
      <c r="H155" s="19">
        <v>2200</v>
      </c>
      <c r="I155" s="20" t="str">
        <f t="shared" si="38"/>
        <v>W:</v>
      </c>
      <c r="J155" s="20">
        <v>720</v>
      </c>
      <c r="K155" s="21" t="str">
        <f t="shared" si="39"/>
        <v/>
      </c>
      <c r="L155" s="21"/>
      <c r="M155" s="22"/>
      <c r="N155" s="23" t="s">
        <v>198</v>
      </c>
      <c r="O155" s="24" t="s">
        <v>271</v>
      </c>
      <c r="P155" s="53" t="s">
        <v>217</v>
      </c>
      <c r="Q155" s="26" t="str">
        <f t="shared" si="40"/>
        <v>Puerta Corte Doble_NM-180*180 / H:2200W:720 mm</v>
      </c>
    </row>
    <row r="156" spans="1:17" ht="20" customHeight="1" outlineLevel="1" x14ac:dyDescent="0.65">
      <c r="A156" s="14">
        <v>138</v>
      </c>
      <c r="B156" s="15" t="str">
        <f t="shared" si="36"/>
        <v>2280PuCD_NM</v>
      </c>
      <c r="C156" s="16" t="s">
        <v>184</v>
      </c>
      <c r="D156" s="54" t="s">
        <v>295</v>
      </c>
      <c r="E156" s="49"/>
      <c r="F156" s="49"/>
      <c r="G156" s="19" t="str">
        <f t="shared" si="37"/>
        <v>H:</v>
      </c>
      <c r="H156" s="19">
        <v>2200</v>
      </c>
      <c r="I156" s="20" t="str">
        <f t="shared" si="38"/>
        <v>W:</v>
      </c>
      <c r="J156" s="20">
        <v>800</v>
      </c>
      <c r="K156" s="21" t="str">
        <f t="shared" si="39"/>
        <v/>
      </c>
      <c r="L156" s="21"/>
      <c r="M156" s="22"/>
      <c r="N156" s="23" t="s">
        <v>198</v>
      </c>
      <c r="O156" s="24" t="s">
        <v>271</v>
      </c>
      <c r="P156" s="53" t="s">
        <v>217</v>
      </c>
      <c r="Q156" s="26" t="str">
        <f t="shared" si="40"/>
        <v>Puerta Corte Doble_NM-180*180 / H:2200W:800 mm</v>
      </c>
    </row>
    <row r="157" spans="1:17" ht="20" customHeight="1" outlineLevel="1" x14ac:dyDescent="0.65">
      <c r="A157" s="14">
        <v>139</v>
      </c>
      <c r="B157" s="15" t="str">
        <f t="shared" si="36"/>
        <v>1840PuCD_NP</v>
      </c>
      <c r="C157" s="16" t="s">
        <v>184</v>
      </c>
      <c r="D157" s="54" t="s">
        <v>296</v>
      </c>
      <c r="E157" s="49"/>
      <c r="F157" s="49"/>
      <c r="G157" s="19" t="str">
        <f t="shared" si="37"/>
        <v>H:</v>
      </c>
      <c r="H157" s="19">
        <v>1800</v>
      </c>
      <c r="I157" s="20" t="str">
        <f t="shared" si="38"/>
        <v>W:</v>
      </c>
      <c r="J157" s="20">
        <v>400</v>
      </c>
      <c r="K157" s="21" t="str">
        <f t="shared" si="39"/>
        <v/>
      </c>
      <c r="L157" s="21"/>
      <c r="M157" s="22"/>
      <c r="N157" s="23" t="s">
        <v>198</v>
      </c>
      <c r="O157" s="24" t="s">
        <v>271</v>
      </c>
      <c r="P157" s="53" t="s">
        <v>226</v>
      </c>
      <c r="Q157" s="26" t="str">
        <f t="shared" si="40"/>
        <v>Puerta Corte Doble_NP-125*125 / H:1800W:400 mm</v>
      </c>
    </row>
    <row r="158" spans="1:17" ht="20" customHeight="1" outlineLevel="1" x14ac:dyDescent="0.65">
      <c r="A158" s="14">
        <v>140</v>
      </c>
      <c r="B158" s="15" t="str">
        <f t="shared" si="36"/>
        <v>1872PuCD_NP</v>
      </c>
      <c r="C158" s="16" t="s">
        <v>184</v>
      </c>
      <c r="D158" s="54" t="s">
        <v>297</v>
      </c>
      <c r="E158" s="49"/>
      <c r="F158" s="49"/>
      <c r="G158" s="19" t="str">
        <f t="shared" si="37"/>
        <v>H:</v>
      </c>
      <c r="H158" s="19">
        <v>1800</v>
      </c>
      <c r="I158" s="20" t="str">
        <f t="shared" si="38"/>
        <v>W:</v>
      </c>
      <c r="J158" s="20">
        <v>720</v>
      </c>
      <c r="K158" s="21" t="str">
        <f t="shared" si="39"/>
        <v/>
      </c>
      <c r="L158" s="21"/>
      <c r="M158" s="22"/>
      <c r="N158" s="23" t="s">
        <v>198</v>
      </c>
      <c r="O158" s="24" t="s">
        <v>271</v>
      </c>
      <c r="P158" s="53" t="s">
        <v>226</v>
      </c>
      <c r="Q158" s="26" t="str">
        <f t="shared" si="40"/>
        <v>Puerta Corte Doble_NP-125*125 / H:1800W:720 mm</v>
      </c>
    </row>
    <row r="159" spans="1:17" ht="20" customHeight="1" outlineLevel="1" x14ac:dyDescent="0.65">
      <c r="A159" s="14">
        <v>141</v>
      </c>
      <c r="B159" s="15" t="str">
        <f t="shared" si="36"/>
        <v>2040PuCD_NP</v>
      </c>
      <c r="C159" s="16" t="s">
        <v>184</v>
      </c>
      <c r="D159" s="54" t="s">
        <v>298</v>
      </c>
      <c r="E159" s="49"/>
      <c r="F159" s="49"/>
      <c r="G159" s="19" t="str">
        <f t="shared" si="37"/>
        <v>H:</v>
      </c>
      <c r="H159" s="19">
        <v>2000</v>
      </c>
      <c r="I159" s="20" t="str">
        <f t="shared" si="38"/>
        <v>W:</v>
      </c>
      <c r="J159" s="20">
        <v>400</v>
      </c>
      <c r="K159" s="21" t="str">
        <f t="shared" si="39"/>
        <v/>
      </c>
      <c r="L159" s="21"/>
      <c r="M159" s="22"/>
      <c r="N159" s="23" t="s">
        <v>198</v>
      </c>
      <c r="O159" s="24" t="s">
        <v>271</v>
      </c>
      <c r="P159" s="53" t="s">
        <v>226</v>
      </c>
      <c r="Q159" s="26" t="str">
        <f t="shared" si="40"/>
        <v>Puerta Corte Doble_NP-125*125 / H:2000W:400 mm</v>
      </c>
    </row>
    <row r="160" spans="1:17" ht="20" customHeight="1" outlineLevel="1" x14ac:dyDescent="0.65">
      <c r="A160" s="14">
        <v>142</v>
      </c>
      <c r="B160" s="15" t="str">
        <f t="shared" si="36"/>
        <v>2072PuCD_NP</v>
      </c>
      <c r="C160" s="16" t="s">
        <v>184</v>
      </c>
      <c r="D160" s="54" t="s">
        <v>299</v>
      </c>
      <c r="E160" s="49"/>
      <c r="F160" s="49"/>
      <c r="G160" s="19" t="str">
        <f t="shared" si="37"/>
        <v>H:</v>
      </c>
      <c r="H160" s="19">
        <v>2000</v>
      </c>
      <c r="I160" s="20" t="str">
        <f t="shared" si="38"/>
        <v>W:</v>
      </c>
      <c r="J160" s="20">
        <v>720</v>
      </c>
      <c r="K160" s="21" t="str">
        <f t="shared" si="39"/>
        <v/>
      </c>
      <c r="L160" s="21"/>
      <c r="M160" s="22"/>
      <c r="N160" s="23" t="s">
        <v>198</v>
      </c>
      <c r="O160" s="24" t="s">
        <v>271</v>
      </c>
      <c r="P160" s="53" t="s">
        <v>226</v>
      </c>
      <c r="Q160" s="26" t="str">
        <f t="shared" si="40"/>
        <v>Puerta Corte Doble_NP-125*125 / H:2000W:720 mm</v>
      </c>
    </row>
    <row r="161" spans="1:17" ht="20" customHeight="1" outlineLevel="1" x14ac:dyDescent="0.65">
      <c r="A161" s="14">
        <v>143</v>
      </c>
      <c r="B161" s="15" t="str">
        <f t="shared" si="36"/>
        <v>2080PuCD_NP</v>
      </c>
      <c r="C161" s="16" t="s">
        <v>184</v>
      </c>
      <c r="D161" s="54" t="s">
        <v>300</v>
      </c>
      <c r="E161" s="49"/>
      <c r="F161" s="49"/>
      <c r="G161" s="19" t="str">
        <f t="shared" si="37"/>
        <v>H:</v>
      </c>
      <c r="H161" s="19">
        <v>2000</v>
      </c>
      <c r="I161" s="20" t="str">
        <f t="shared" si="38"/>
        <v>W:</v>
      </c>
      <c r="J161" s="20">
        <v>800</v>
      </c>
      <c r="K161" s="21" t="str">
        <f t="shared" si="39"/>
        <v/>
      </c>
      <c r="L161" s="21"/>
      <c r="M161" s="22"/>
      <c r="N161" s="23" t="s">
        <v>198</v>
      </c>
      <c r="O161" s="24" t="s">
        <v>271</v>
      </c>
      <c r="P161" s="53" t="s">
        <v>226</v>
      </c>
      <c r="Q161" s="26" t="str">
        <f t="shared" si="40"/>
        <v>Puerta Corte Doble_NP-125*125 / H:2000W:800 mm</v>
      </c>
    </row>
    <row r="162" spans="1:17" ht="20" customHeight="1" outlineLevel="1" x14ac:dyDescent="0.65">
      <c r="A162" s="14">
        <v>144</v>
      </c>
      <c r="B162" s="15" t="str">
        <f t="shared" si="36"/>
        <v>2240PuCD_NP</v>
      </c>
      <c r="C162" s="16" t="s">
        <v>184</v>
      </c>
      <c r="D162" s="54" t="s">
        <v>301</v>
      </c>
      <c r="E162" s="49"/>
      <c r="F162" s="49"/>
      <c r="G162" s="19" t="str">
        <f t="shared" si="37"/>
        <v>H:</v>
      </c>
      <c r="H162" s="19">
        <v>2200</v>
      </c>
      <c r="I162" s="20" t="str">
        <f t="shared" si="38"/>
        <v>W:</v>
      </c>
      <c r="J162" s="20">
        <v>400</v>
      </c>
      <c r="K162" s="21" t="str">
        <f t="shared" si="39"/>
        <v/>
      </c>
      <c r="L162" s="21"/>
      <c r="M162" s="22"/>
      <c r="N162" s="23" t="s">
        <v>198</v>
      </c>
      <c r="O162" s="24" t="s">
        <v>271</v>
      </c>
      <c r="P162" s="53" t="s">
        <v>226</v>
      </c>
      <c r="Q162" s="26" t="str">
        <f t="shared" si="40"/>
        <v>Puerta Corte Doble_NP-125*125 / H:2200W:400 mm</v>
      </c>
    </row>
    <row r="163" spans="1:17" ht="20" customHeight="1" outlineLevel="1" x14ac:dyDescent="0.65">
      <c r="A163" s="14">
        <v>145</v>
      </c>
      <c r="B163" s="15" t="str">
        <f t="shared" si="36"/>
        <v>2272PuCD_NP</v>
      </c>
      <c r="C163" s="16" t="s">
        <v>184</v>
      </c>
      <c r="D163" s="54" t="s">
        <v>302</v>
      </c>
      <c r="E163" s="49"/>
      <c r="F163" s="49"/>
      <c r="G163" s="19" t="str">
        <f t="shared" si="37"/>
        <v>H:</v>
      </c>
      <c r="H163" s="19">
        <v>2200</v>
      </c>
      <c r="I163" s="20" t="str">
        <f t="shared" si="38"/>
        <v>W:</v>
      </c>
      <c r="J163" s="20">
        <v>720</v>
      </c>
      <c r="K163" s="21" t="str">
        <f t="shared" si="39"/>
        <v/>
      </c>
      <c r="L163" s="21"/>
      <c r="M163" s="22"/>
      <c r="N163" s="23" t="s">
        <v>198</v>
      </c>
      <c r="O163" s="24" t="s">
        <v>271</v>
      </c>
      <c r="P163" s="53" t="s">
        <v>226</v>
      </c>
      <c r="Q163" s="26" t="str">
        <f t="shared" si="40"/>
        <v>Puerta Corte Doble_NP-125*125 / H:2200W:720 mm</v>
      </c>
    </row>
    <row r="164" spans="1:17" ht="20" customHeight="1" outlineLevel="1" x14ac:dyDescent="0.65">
      <c r="A164" s="14">
        <v>146</v>
      </c>
      <c r="B164" s="15" t="str">
        <f t="shared" si="36"/>
        <v>2280PuCD_NP</v>
      </c>
      <c r="C164" s="16" t="s">
        <v>184</v>
      </c>
      <c r="D164" s="54" t="s">
        <v>303</v>
      </c>
      <c r="E164" s="49"/>
      <c r="F164" s="49"/>
      <c r="G164" s="19" t="str">
        <f t="shared" si="37"/>
        <v>H:</v>
      </c>
      <c r="H164" s="19">
        <v>2200</v>
      </c>
      <c r="I164" s="20" t="str">
        <f t="shared" si="38"/>
        <v>W:</v>
      </c>
      <c r="J164" s="20">
        <v>800</v>
      </c>
      <c r="K164" s="21" t="str">
        <f t="shared" si="39"/>
        <v/>
      </c>
      <c r="L164" s="21"/>
      <c r="M164" s="22"/>
      <c r="N164" s="23" t="s">
        <v>198</v>
      </c>
      <c r="O164" s="24" t="s">
        <v>271</v>
      </c>
      <c r="P164" s="53" t="s">
        <v>226</v>
      </c>
      <c r="Q164" s="26" t="str">
        <f t="shared" si="40"/>
        <v>Puerta Corte Doble_NP-125*125 / H:2200W:800 mm</v>
      </c>
    </row>
    <row r="165" spans="1:17" ht="20" customHeight="1" x14ac:dyDescent="0.65">
      <c r="B165" s="45" t="str">
        <f t="shared" si="36"/>
        <v/>
      </c>
      <c r="C165" s="1"/>
      <c r="M165" s="1"/>
      <c r="N165" s="1"/>
      <c r="O165" s="1"/>
      <c r="P165" s="1"/>
      <c r="Q165" s="46"/>
    </row>
    <row r="166" spans="1:17" ht="20" customHeight="1" outlineLevel="1" x14ac:dyDescent="0.65">
      <c r="A166" s="14">
        <v>147</v>
      </c>
      <c r="B166" s="15" t="str">
        <f t="shared" si="36"/>
        <v>1840PaLP</v>
      </c>
      <c r="C166" s="16" t="s">
        <v>304</v>
      </c>
      <c r="D166" s="48" t="s">
        <v>305</v>
      </c>
      <c r="E166" s="49"/>
      <c r="F166" s="49"/>
      <c r="G166" s="19" t="str">
        <f t="shared" si="37"/>
        <v>H:</v>
      </c>
      <c r="H166" s="19">
        <v>1800</v>
      </c>
      <c r="I166" s="20" t="str">
        <f t="shared" si="38"/>
        <v/>
      </c>
      <c r="J166" s="20"/>
      <c r="K166" s="21" t="str">
        <f t="shared" si="39"/>
        <v>D:</v>
      </c>
      <c r="L166" s="21">
        <v>400</v>
      </c>
      <c r="M166" s="22" t="s">
        <v>306</v>
      </c>
      <c r="N166" s="23" t="s">
        <v>307</v>
      </c>
      <c r="O166" s="24"/>
      <c r="P166" s="25"/>
      <c r="Q166" s="26" t="str">
        <f t="shared" si="40"/>
        <v>Panel Lateral Pleno  / H:1800D:400 mm</v>
      </c>
    </row>
    <row r="167" spans="1:17" ht="20" customHeight="1" outlineLevel="1" x14ac:dyDescent="0.65">
      <c r="A167" s="14">
        <v>148</v>
      </c>
      <c r="B167" s="15" t="str">
        <f t="shared" si="36"/>
        <v>1860PaLP</v>
      </c>
      <c r="C167" s="16" t="s">
        <v>304</v>
      </c>
      <c r="D167" s="48" t="s">
        <v>308</v>
      </c>
      <c r="E167" s="49"/>
      <c r="F167" s="49"/>
      <c r="G167" s="19" t="str">
        <f t="shared" si="37"/>
        <v>H:</v>
      </c>
      <c r="H167" s="19">
        <v>1800</v>
      </c>
      <c r="I167" s="20" t="str">
        <f t="shared" si="38"/>
        <v/>
      </c>
      <c r="J167" s="20"/>
      <c r="K167" s="21" t="str">
        <f t="shared" si="39"/>
        <v>D:</v>
      </c>
      <c r="L167" s="21">
        <v>600</v>
      </c>
      <c r="M167" s="22" t="s">
        <v>306</v>
      </c>
      <c r="N167" s="23" t="s">
        <v>307</v>
      </c>
      <c r="O167" s="24"/>
      <c r="P167" s="25"/>
      <c r="Q167" s="26" t="str">
        <f t="shared" si="40"/>
        <v>Panel Lateral Pleno  / H:1800D:600 mm</v>
      </c>
    </row>
    <row r="168" spans="1:17" ht="20" customHeight="1" outlineLevel="1" x14ac:dyDescent="0.65">
      <c r="A168" s="14">
        <v>149</v>
      </c>
      <c r="B168" s="15" t="str">
        <f t="shared" si="36"/>
        <v>1810PaLP</v>
      </c>
      <c r="C168" s="16" t="s">
        <v>304</v>
      </c>
      <c r="D168" s="48" t="s">
        <v>309</v>
      </c>
      <c r="E168" s="49"/>
      <c r="F168" s="49"/>
      <c r="G168" s="19" t="str">
        <f t="shared" si="37"/>
        <v>H:</v>
      </c>
      <c r="H168" s="19">
        <v>1800</v>
      </c>
      <c r="I168" s="20" t="str">
        <f t="shared" si="38"/>
        <v/>
      </c>
      <c r="J168" s="20"/>
      <c r="K168" s="21" t="str">
        <f t="shared" si="39"/>
        <v>D:</v>
      </c>
      <c r="L168" s="21">
        <v>1000</v>
      </c>
      <c r="M168" s="22" t="s">
        <v>306</v>
      </c>
      <c r="N168" s="23" t="s">
        <v>307</v>
      </c>
      <c r="O168" s="24"/>
      <c r="P168" s="25"/>
      <c r="Q168" s="26" t="str">
        <f t="shared" si="40"/>
        <v>Panel Lateral Pleno  / H:1800D:1000 mm</v>
      </c>
    </row>
    <row r="169" spans="1:17" ht="20" customHeight="1" outlineLevel="1" x14ac:dyDescent="0.65">
      <c r="A169" s="14">
        <v>150</v>
      </c>
      <c r="B169" s="15" t="str">
        <f t="shared" si="36"/>
        <v>2040PaLP</v>
      </c>
      <c r="C169" s="16" t="s">
        <v>304</v>
      </c>
      <c r="D169" s="48" t="s">
        <v>310</v>
      </c>
      <c r="E169" s="49"/>
      <c r="F169" s="49"/>
      <c r="G169" s="19" t="str">
        <f t="shared" si="37"/>
        <v>H:</v>
      </c>
      <c r="H169" s="19">
        <v>2000</v>
      </c>
      <c r="I169" s="20" t="str">
        <f t="shared" si="38"/>
        <v/>
      </c>
      <c r="J169" s="20"/>
      <c r="K169" s="21" t="str">
        <f t="shared" si="39"/>
        <v>D:</v>
      </c>
      <c r="L169" s="21">
        <v>400</v>
      </c>
      <c r="M169" s="22" t="s">
        <v>306</v>
      </c>
      <c r="N169" s="23" t="s">
        <v>307</v>
      </c>
      <c r="O169" s="24"/>
      <c r="P169" s="25"/>
      <c r="Q169" s="26" t="str">
        <f t="shared" si="40"/>
        <v>Panel Lateral Pleno  / H:2000D:400 mm</v>
      </c>
    </row>
    <row r="170" spans="1:17" ht="20" customHeight="1" outlineLevel="1" x14ac:dyDescent="0.65">
      <c r="A170" s="14">
        <v>151</v>
      </c>
      <c r="B170" s="15" t="str">
        <f t="shared" si="36"/>
        <v>2060PaLP</v>
      </c>
      <c r="C170" s="16" t="s">
        <v>304</v>
      </c>
      <c r="D170" s="48" t="s">
        <v>311</v>
      </c>
      <c r="E170" s="49"/>
      <c r="F170" s="49"/>
      <c r="G170" s="19" t="str">
        <f t="shared" si="37"/>
        <v>H:</v>
      </c>
      <c r="H170" s="19">
        <v>2000</v>
      </c>
      <c r="I170" s="20" t="str">
        <f t="shared" si="38"/>
        <v/>
      </c>
      <c r="J170" s="20"/>
      <c r="K170" s="21" t="str">
        <f t="shared" si="39"/>
        <v>D:</v>
      </c>
      <c r="L170" s="21">
        <v>600</v>
      </c>
      <c r="M170" s="22" t="s">
        <v>306</v>
      </c>
      <c r="N170" s="23" t="s">
        <v>307</v>
      </c>
      <c r="O170" s="24"/>
      <c r="P170" s="25"/>
      <c r="Q170" s="26" t="str">
        <f t="shared" si="40"/>
        <v>Panel Lateral Pleno  / H:2000D:600 mm</v>
      </c>
    </row>
    <row r="171" spans="1:17" ht="20" customHeight="1" outlineLevel="1" x14ac:dyDescent="0.65">
      <c r="A171" s="14">
        <v>152</v>
      </c>
      <c r="B171" s="15" t="str">
        <f t="shared" si="36"/>
        <v>2010PaLP</v>
      </c>
      <c r="C171" s="16" t="s">
        <v>304</v>
      </c>
      <c r="D171" s="48" t="s">
        <v>312</v>
      </c>
      <c r="E171" s="49"/>
      <c r="F171" s="49"/>
      <c r="G171" s="19" t="str">
        <f t="shared" si="37"/>
        <v>H:</v>
      </c>
      <c r="H171" s="19">
        <v>2000</v>
      </c>
      <c r="I171" s="20" t="str">
        <f t="shared" si="38"/>
        <v/>
      </c>
      <c r="J171" s="20"/>
      <c r="K171" s="21" t="str">
        <f t="shared" si="39"/>
        <v>D:</v>
      </c>
      <c r="L171" s="21">
        <v>1000</v>
      </c>
      <c r="M171" s="22" t="s">
        <v>306</v>
      </c>
      <c r="N171" s="23" t="s">
        <v>307</v>
      </c>
      <c r="O171" s="24"/>
      <c r="P171" s="25"/>
      <c r="Q171" s="26" t="str">
        <f t="shared" si="40"/>
        <v>Panel Lateral Pleno  / H:2000D:1000 mm</v>
      </c>
    </row>
    <row r="172" spans="1:17" ht="20" customHeight="1" outlineLevel="1" x14ac:dyDescent="0.65">
      <c r="A172" s="14">
        <v>153</v>
      </c>
      <c r="B172" s="15" t="str">
        <f t="shared" si="36"/>
        <v>2240PaLP</v>
      </c>
      <c r="C172" s="16" t="s">
        <v>304</v>
      </c>
      <c r="D172" s="48" t="s">
        <v>313</v>
      </c>
      <c r="E172" s="49"/>
      <c r="F172" s="49"/>
      <c r="G172" s="19" t="str">
        <f t="shared" si="37"/>
        <v>H:</v>
      </c>
      <c r="H172" s="19">
        <v>2200</v>
      </c>
      <c r="I172" s="20" t="str">
        <f t="shared" si="38"/>
        <v/>
      </c>
      <c r="J172" s="20"/>
      <c r="K172" s="21" t="str">
        <f t="shared" si="39"/>
        <v>D:</v>
      </c>
      <c r="L172" s="21">
        <v>400</v>
      </c>
      <c r="M172" s="22" t="s">
        <v>306</v>
      </c>
      <c r="N172" s="23" t="s">
        <v>307</v>
      </c>
      <c r="O172" s="24"/>
      <c r="P172" s="25"/>
      <c r="Q172" s="26" t="str">
        <f t="shared" si="40"/>
        <v>Panel Lateral Pleno  / H:2200D:400 mm</v>
      </c>
    </row>
    <row r="173" spans="1:17" ht="20" customHeight="1" outlineLevel="1" x14ac:dyDescent="0.65">
      <c r="A173" s="14">
        <v>154</v>
      </c>
      <c r="B173" s="15" t="str">
        <f t="shared" si="36"/>
        <v>2260PaLP</v>
      </c>
      <c r="C173" s="16" t="s">
        <v>304</v>
      </c>
      <c r="D173" s="48" t="s">
        <v>314</v>
      </c>
      <c r="E173" s="49"/>
      <c r="F173" s="49"/>
      <c r="G173" s="19" t="str">
        <f t="shared" si="37"/>
        <v>H:</v>
      </c>
      <c r="H173" s="19">
        <v>2200</v>
      </c>
      <c r="I173" s="20" t="str">
        <f t="shared" si="38"/>
        <v/>
      </c>
      <c r="J173" s="20"/>
      <c r="K173" s="21" t="str">
        <f t="shared" si="39"/>
        <v>D:</v>
      </c>
      <c r="L173" s="21">
        <v>600</v>
      </c>
      <c r="M173" s="22" t="s">
        <v>306</v>
      </c>
      <c r="N173" s="23" t="s">
        <v>307</v>
      </c>
      <c r="O173" s="24"/>
      <c r="P173" s="25"/>
      <c r="Q173" s="26" t="str">
        <f t="shared" si="40"/>
        <v>Panel Lateral Pleno  / H:2200D:600 mm</v>
      </c>
    </row>
    <row r="174" spans="1:17" ht="20" customHeight="1" outlineLevel="1" x14ac:dyDescent="0.65">
      <c r="A174" s="14">
        <v>155</v>
      </c>
      <c r="B174" s="15" t="str">
        <f t="shared" si="36"/>
        <v>2210PaLP</v>
      </c>
      <c r="C174" s="16" t="s">
        <v>304</v>
      </c>
      <c r="D174" s="48" t="s">
        <v>315</v>
      </c>
      <c r="E174" s="49"/>
      <c r="F174" s="49"/>
      <c r="G174" s="19" t="str">
        <f t="shared" si="37"/>
        <v>H:</v>
      </c>
      <c r="H174" s="19">
        <v>2200</v>
      </c>
      <c r="I174" s="20" t="str">
        <f t="shared" si="38"/>
        <v/>
      </c>
      <c r="J174" s="20"/>
      <c r="K174" s="21" t="str">
        <f t="shared" si="39"/>
        <v>D:</v>
      </c>
      <c r="L174" s="21">
        <v>1000</v>
      </c>
      <c r="M174" s="22" t="s">
        <v>306</v>
      </c>
      <c r="N174" s="23" t="s">
        <v>307</v>
      </c>
      <c r="O174" s="24"/>
      <c r="P174" s="25"/>
      <c r="Q174" s="26" t="str">
        <f t="shared" si="40"/>
        <v>Panel Lateral Pleno  / H:2200D:1000 mm</v>
      </c>
    </row>
    <row r="175" spans="1:17" ht="20" customHeight="1" outlineLevel="1" x14ac:dyDescent="0.65">
      <c r="A175" s="14">
        <v>156</v>
      </c>
      <c r="B175" s="15" t="str">
        <f t="shared" si="36"/>
        <v>1840PaLCS_SE</v>
      </c>
      <c r="C175" s="16" t="s">
        <v>304</v>
      </c>
      <c r="D175" s="49" t="s">
        <v>316</v>
      </c>
      <c r="E175" s="49"/>
      <c r="F175" s="49"/>
      <c r="G175" s="19" t="str">
        <f t="shared" si="37"/>
        <v>H:</v>
      </c>
      <c r="H175" s="19">
        <v>1800</v>
      </c>
      <c r="I175" s="20" t="str">
        <f t="shared" si="38"/>
        <v/>
      </c>
      <c r="J175" s="20"/>
      <c r="K175" s="21" t="str">
        <f t="shared" si="39"/>
        <v>D:</v>
      </c>
      <c r="L175" s="21">
        <v>400</v>
      </c>
      <c r="M175" s="22" t="s">
        <v>306</v>
      </c>
      <c r="N175" s="23" t="s">
        <v>198</v>
      </c>
      <c r="O175" s="24" t="s">
        <v>39</v>
      </c>
      <c r="P175" s="53" t="s">
        <v>272</v>
      </c>
      <c r="Q175" s="26" t="str">
        <f t="shared" si="40"/>
        <v>Panel Lateral Corte Sencillo_SE-223*223 / H:1800D:400 mm</v>
      </c>
    </row>
    <row r="176" spans="1:17" ht="20" customHeight="1" outlineLevel="1" x14ac:dyDescent="0.65">
      <c r="A176" s="14">
        <v>157</v>
      </c>
      <c r="B176" s="15" t="str">
        <f t="shared" si="36"/>
        <v>1860PaLCS_SE</v>
      </c>
      <c r="C176" s="16" t="s">
        <v>304</v>
      </c>
      <c r="D176" s="49" t="s">
        <v>317</v>
      </c>
      <c r="E176" s="49"/>
      <c r="F176" s="49"/>
      <c r="G176" s="19" t="str">
        <f t="shared" si="37"/>
        <v>H:</v>
      </c>
      <c r="H176" s="19">
        <v>1800</v>
      </c>
      <c r="I176" s="20" t="str">
        <f t="shared" si="38"/>
        <v/>
      </c>
      <c r="J176" s="20"/>
      <c r="K176" s="21" t="str">
        <f t="shared" si="39"/>
        <v>D:</v>
      </c>
      <c r="L176" s="21">
        <v>600</v>
      </c>
      <c r="M176" s="22" t="s">
        <v>306</v>
      </c>
      <c r="N176" s="23" t="s">
        <v>198</v>
      </c>
      <c r="O176" s="24" t="s">
        <v>39</v>
      </c>
      <c r="P176" s="53" t="s">
        <v>272</v>
      </c>
      <c r="Q176" s="26" t="str">
        <f t="shared" si="40"/>
        <v>Panel Lateral Corte Sencillo_SE-223*223 / H:1800D:600 mm</v>
      </c>
    </row>
    <row r="177" spans="1:17" ht="20" customHeight="1" outlineLevel="1" x14ac:dyDescent="0.65">
      <c r="A177" s="14">
        <v>158</v>
      </c>
      <c r="B177" s="15" t="str">
        <f t="shared" si="36"/>
        <v>1810PaLCS_SE</v>
      </c>
      <c r="C177" s="16" t="s">
        <v>304</v>
      </c>
      <c r="D177" s="49" t="s">
        <v>318</v>
      </c>
      <c r="E177" s="49"/>
      <c r="F177" s="49"/>
      <c r="G177" s="19" t="str">
        <f t="shared" si="37"/>
        <v>H:</v>
      </c>
      <c r="H177" s="19">
        <v>1800</v>
      </c>
      <c r="I177" s="20" t="str">
        <f t="shared" si="38"/>
        <v/>
      </c>
      <c r="J177" s="20"/>
      <c r="K177" s="21" t="str">
        <f t="shared" si="39"/>
        <v>D:</v>
      </c>
      <c r="L177" s="21">
        <v>1000</v>
      </c>
      <c r="M177" s="22" t="s">
        <v>306</v>
      </c>
      <c r="N177" s="23" t="s">
        <v>198</v>
      </c>
      <c r="O177" s="24" t="s">
        <v>39</v>
      </c>
      <c r="P177" s="53" t="s">
        <v>272</v>
      </c>
      <c r="Q177" s="26" t="str">
        <f t="shared" si="40"/>
        <v>Panel Lateral Corte Sencillo_SE-223*223 / H:1800D:1000 mm</v>
      </c>
    </row>
    <row r="178" spans="1:17" ht="20" customHeight="1" outlineLevel="1" x14ac:dyDescent="0.65">
      <c r="A178" s="14">
        <v>159</v>
      </c>
      <c r="B178" s="15" t="str">
        <f t="shared" si="36"/>
        <v>2040PaLCS_SE</v>
      </c>
      <c r="C178" s="16" t="s">
        <v>304</v>
      </c>
      <c r="D178" s="49" t="s">
        <v>319</v>
      </c>
      <c r="E178" s="49"/>
      <c r="F178" s="49"/>
      <c r="G178" s="19" t="str">
        <f t="shared" si="37"/>
        <v>H:</v>
      </c>
      <c r="H178" s="19">
        <v>2000</v>
      </c>
      <c r="I178" s="20" t="str">
        <f t="shared" si="38"/>
        <v/>
      </c>
      <c r="J178" s="20"/>
      <c r="K178" s="21" t="str">
        <f t="shared" si="39"/>
        <v>D:</v>
      </c>
      <c r="L178" s="21">
        <v>400</v>
      </c>
      <c r="M178" s="22" t="s">
        <v>306</v>
      </c>
      <c r="N178" s="23" t="s">
        <v>198</v>
      </c>
      <c r="O178" s="24" t="s">
        <v>39</v>
      </c>
      <c r="P178" s="53" t="s">
        <v>272</v>
      </c>
      <c r="Q178" s="26" t="str">
        <f t="shared" si="40"/>
        <v>Panel Lateral Corte Sencillo_SE-223*223 / H:2000D:400 mm</v>
      </c>
    </row>
    <row r="179" spans="1:17" ht="20" customHeight="1" outlineLevel="1" x14ac:dyDescent="0.65">
      <c r="A179" s="14">
        <v>160</v>
      </c>
      <c r="B179" s="15" t="str">
        <f t="shared" si="36"/>
        <v>2060PaLCS_SE</v>
      </c>
      <c r="C179" s="16" t="s">
        <v>304</v>
      </c>
      <c r="D179" s="49" t="s">
        <v>320</v>
      </c>
      <c r="E179" s="49"/>
      <c r="F179" s="49"/>
      <c r="G179" s="19" t="str">
        <f t="shared" si="37"/>
        <v>H:</v>
      </c>
      <c r="H179" s="19">
        <v>2000</v>
      </c>
      <c r="I179" s="20" t="str">
        <f t="shared" si="38"/>
        <v/>
      </c>
      <c r="J179" s="20"/>
      <c r="K179" s="21" t="str">
        <f t="shared" si="39"/>
        <v>D:</v>
      </c>
      <c r="L179" s="21">
        <v>600</v>
      </c>
      <c r="M179" s="22" t="s">
        <v>306</v>
      </c>
      <c r="N179" s="23" t="s">
        <v>198</v>
      </c>
      <c r="O179" s="24" t="s">
        <v>39</v>
      </c>
      <c r="P179" s="53" t="s">
        <v>272</v>
      </c>
      <c r="Q179" s="26" t="str">
        <f t="shared" si="40"/>
        <v>Panel Lateral Corte Sencillo_SE-223*223 / H:2000D:600 mm</v>
      </c>
    </row>
    <row r="180" spans="1:17" ht="20" customHeight="1" outlineLevel="1" x14ac:dyDescent="0.65">
      <c r="A180" s="14">
        <v>161</v>
      </c>
      <c r="B180" s="15" t="str">
        <f t="shared" si="36"/>
        <v>2010PaLCS_SE</v>
      </c>
      <c r="C180" s="16" t="s">
        <v>304</v>
      </c>
      <c r="D180" s="49" t="s">
        <v>321</v>
      </c>
      <c r="E180" s="49"/>
      <c r="F180" s="49"/>
      <c r="G180" s="19" t="str">
        <f t="shared" si="37"/>
        <v>H:</v>
      </c>
      <c r="H180" s="19">
        <v>2000</v>
      </c>
      <c r="I180" s="20" t="str">
        <f t="shared" si="38"/>
        <v/>
      </c>
      <c r="J180" s="20"/>
      <c r="K180" s="21" t="str">
        <f t="shared" si="39"/>
        <v>D:</v>
      </c>
      <c r="L180" s="21">
        <v>1000</v>
      </c>
      <c r="M180" s="22" t="s">
        <v>306</v>
      </c>
      <c r="N180" s="23" t="s">
        <v>198</v>
      </c>
      <c r="O180" s="24" t="s">
        <v>39</v>
      </c>
      <c r="P180" s="53" t="s">
        <v>272</v>
      </c>
      <c r="Q180" s="26" t="str">
        <f t="shared" si="40"/>
        <v>Panel Lateral Corte Sencillo_SE-223*223 / H:2000D:1000 mm</v>
      </c>
    </row>
    <row r="181" spans="1:17" ht="20" customHeight="1" outlineLevel="1" x14ac:dyDescent="0.65">
      <c r="A181" s="14">
        <v>162</v>
      </c>
      <c r="B181" s="15" t="str">
        <f t="shared" si="36"/>
        <v>2240PaLCS_SE</v>
      </c>
      <c r="C181" s="16" t="s">
        <v>304</v>
      </c>
      <c r="D181" s="49" t="s">
        <v>322</v>
      </c>
      <c r="E181" s="49"/>
      <c r="F181" s="49"/>
      <c r="G181" s="19" t="str">
        <f t="shared" si="37"/>
        <v>H:</v>
      </c>
      <c r="H181" s="19">
        <v>2200</v>
      </c>
      <c r="I181" s="20" t="str">
        <f t="shared" si="38"/>
        <v/>
      </c>
      <c r="J181" s="20"/>
      <c r="K181" s="21" t="str">
        <f t="shared" si="39"/>
        <v>D:</v>
      </c>
      <c r="L181" s="21">
        <v>400</v>
      </c>
      <c r="M181" s="22" t="s">
        <v>306</v>
      </c>
      <c r="N181" s="23" t="s">
        <v>198</v>
      </c>
      <c r="O181" s="24" t="s">
        <v>39</v>
      </c>
      <c r="P181" s="53" t="s">
        <v>272</v>
      </c>
      <c r="Q181" s="26" t="str">
        <f t="shared" si="40"/>
        <v>Panel Lateral Corte Sencillo_SE-223*223 / H:2200D:400 mm</v>
      </c>
    </row>
    <row r="182" spans="1:17" ht="20" customHeight="1" outlineLevel="1" x14ac:dyDescent="0.65">
      <c r="A182" s="14">
        <v>163</v>
      </c>
      <c r="B182" s="15" t="str">
        <f t="shared" si="36"/>
        <v>2260PaLCS_SE</v>
      </c>
      <c r="C182" s="16" t="s">
        <v>304</v>
      </c>
      <c r="D182" s="49" t="s">
        <v>323</v>
      </c>
      <c r="E182" s="49"/>
      <c r="F182" s="49"/>
      <c r="G182" s="19" t="str">
        <f t="shared" si="37"/>
        <v>H:</v>
      </c>
      <c r="H182" s="19">
        <v>2200</v>
      </c>
      <c r="I182" s="20" t="str">
        <f t="shared" si="38"/>
        <v/>
      </c>
      <c r="J182" s="20"/>
      <c r="K182" s="21" t="str">
        <f t="shared" si="39"/>
        <v>D:</v>
      </c>
      <c r="L182" s="21">
        <v>600</v>
      </c>
      <c r="M182" s="22" t="s">
        <v>306</v>
      </c>
      <c r="N182" s="23" t="s">
        <v>198</v>
      </c>
      <c r="O182" s="24" t="s">
        <v>39</v>
      </c>
      <c r="P182" s="53" t="s">
        <v>272</v>
      </c>
      <c r="Q182" s="26" t="str">
        <f t="shared" si="40"/>
        <v>Panel Lateral Corte Sencillo_SE-223*223 / H:2200D:600 mm</v>
      </c>
    </row>
    <row r="183" spans="1:17" ht="20" customHeight="1" outlineLevel="1" x14ac:dyDescent="0.65">
      <c r="A183" s="14">
        <v>164</v>
      </c>
      <c r="B183" s="15" t="str">
        <f t="shared" si="36"/>
        <v>2210PaLCS_SE</v>
      </c>
      <c r="C183" s="16" t="s">
        <v>304</v>
      </c>
      <c r="D183" s="49" t="s">
        <v>324</v>
      </c>
      <c r="E183" s="49"/>
      <c r="F183" s="49"/>
      <c r="G183" s="19" t="str">
        <f t="shared" si="37"/>
        <v>H:</v>
      </c>
      <c r="H183" s="19">
        <v>2200</v>
      </c>
      <c r="I183" s="20" t="str">
        <f t="shared" si="38"/>
        <v/>
      </c>
      <c r="J183" s="20"/>
      <c r="K183" s="21" t="str">
        <f t="shared" si="39"/>
        <v>D:</v>
      </c>
      <c r="L183" s="21">
        <v>1000</v>
      </c>
      <c r="M183" s="22" t="s">
        <v>306</v>
      </c>
      <c r="N183" s="23" t="s">
        <v>198</v>
      </c>
      <c r="O183" s="24" t="s">
        <v>39</v>
      </c>
      <c r="P183" s="53" t="s">
        <v>272</v>
      </c>
      <c r="Q183" s="26" t="str">
        <f t="shared" si="40"/>
        <v>Panel Lateral Corte Sencillo_SE-223*223 / H:2200D:1000 mm</v>
      </c>
    </row>
    <row r="184" spans="1:17" ht="20" customHeight="1" outlineLevel="1" x14ac:dyDescent="0.65">
      <c r="A184" s="14">
        <v>165</v>
      </c>
      <c r="B184" s="15" t="str">
        <f t="shared" si="36"/>
        <v>1840PaLCS_NG</v>
      </c>
      <c r="C184" s="16" t="s">
        <v>304</v>
      </c>
      <c r="D184" s="49" t="s">
        <v>325</v>
      </c>
      <c r="E184" s="49"/>
      <c r="F184" s="49"/>
      <c r="G184" s="19" t="str">
        <f t="shared" si="37"/>
        <v>H:</v>
      </c>
      <c r="H184" s="19">
        <v>1800</v>
      </c>
      <c r="I184" s="20" t="str">
        <f t="shared" si="38"/>
        <v/>
      </c>
      <c r="J184" s="20"/>
      <c r="K184" s="21" t="str">
        <f t="shared" si="39"/>
        <v>D:</v>
      </c>
      <c r="L184" s="21">
        <v>400</v>
      </c>
      <c r="M184" s="22" t="s">
        <v>306</v>
      </c>
      <c r="N184" s="23" t="s">
        <v>198</v>
      </c>
      <c r="O184" s="24" t="s">
        <v>39</v>
      </c>
      <c r="P184" s="53" t="s">
        <v>208</v>
      </c>
      <c r="Q184" s="26" t="str">
        <f t="shared" si="40"/>
        <v>Panel Lateral Corte Sencillo_NG-229*229 / H:1800D:400 mm</v>
      </c>
    </row>
    <row r="185" spans="1:17" ht="20" customHeight="1" outlineLevel="1" x14ac:dyDescent="0.65">
      <c r="A185" s="14">
        <v>166</v>
      </c>
      <c r="B185" s="15" t="str">
        <f t="shared" si="36"/>
        <v>1860PaLCS_NG</v>
      </c>
      <c r="C185" s="16" t="s">
        <v>304</v>
      </c>
      <c r="D185" s="49" t="s">
        <v>326</v>
      </c>
      <c r="E185" s="49"/>
      <c r="F185" s="49"/>
      <c r="G185" s="19" t="str">
        <f t="shared" si="37"/>
        <v>H:</v>
      </c>
      <c r="H185" s="19">
        <v>1800</v>
      </c>
      <c r="I185" s="20" t="str">
        <f t="shared" si="38"/>
        <v/>
      </c>
      <c r="J185" s="20"/>
      <c r="K185" s="21" t="str">
        <f t="shared" si="39"/>
        <v>D:</v>
      </c>
      <c r="L185" s="21">
        <v>600</v>
      </c>
      <c r="M185" s="22" t="s">
        <v>306</v>
      </c>
      <c r="N185" s="23" t="s">
        <v>198</v>
      </c>
      <c r="O185" s="24" t="s">
        <v>39</v>
      </c>
      <c r="P185" s="53" t="s">
        <v>208</v>
      </c>
      <c r="Q185" s="26" t="str">
        <f t="shared" si="40"/>
        <v>Panel Lateral Corte Sencillo_NG-229*229 / H:1800D:600 mm</v>
      </c>
    </row>
    <row r="186" spans="1:17" ht="20" customHeight="1" outlineLevel="1" x14ac:dyDescent="0.65">
      <c r="A186" s="14">
        <v>167</v>
      </c>
      <c r="B186" s="15" t="str">
        <f t="shared" si="36"/>
        <v>1810PaLCS_NG</v>
      </c>
      <c r="C186" s="16" t="s">
        <v>304</v>
      </c>
      <c r="D186" s="49" t="s">
        <v>327</v>
      </c>
      <c r="E186" s="49"/>
      <c r="F186" s="49"/>
      <c r="G186" s="19" t="str">
        <f t="shared" si="37"/>
        <v>H:</v>
      </c>
      <c r="H186" s="19">
        <v>1800</v>
      </c>
      <c r="I186" s="20" t="str">
        <f t="shared" si="38"/>
        <v/>
      </c>
      <c r="J186" s="20"/>
      <c r="K186" s="21" t="str">
        <f t="shared" si="39"/>
        <v>D:</v>
      </c>
      <c r="L186" s="21">
        <v>1000</v>
      </c>
      <c r="M186" s="22" t="s">
        <v>306</v>
      </c>
      <c r="N186" s="23" t="s">
        <v>198</v>
      </c>
      <c r="O186" s="24" t="s">
        <v>39</v>
      </c>
      <c r="P186" s="53" t="s">
        <v>208</v>
      </c>
      <c r="Q186" s="26" t="str">
        <f t="shared" si="40"/>
        <v>Panel Lateral Corte Sencillo_NG-229*229 / H:1800D:1000 mm</v>
      </c>
    </row>
    <row r="187" spans="1:17" ht="20" customHeight="1" outlineLevel="1" x14ac:dyDescent="0.65">
      <c r="A187" s="14">
        <v>168</v>
      </c>
      <c r="B187" s="15" t="str">
        <f t="shared" si="36"/>
        <v>2040PaLCS_NG</v>
      </c>
      <c r="C187" s="16" t="s">
        <v>304</v>
      </c>
      <c r="D187" s="49" t="s">
        <v>328</v>
      </c>
      <c r="E187" s="49"/>
      <c r="F187" s="49"/>
      <c r="G187" s="19" t="str">
        <f t="shared" si="37"/>
        <v>H:</v>
      </c>
      <c r="H187" s="19">
        <v>2000</v>
      </c>
      <c r="I187" s="20" t="str">
        <f t="shared" si="38"/>
        <v/>
      </c>
      <c r="J187" s="20"/>
      <c r="K187" s="21" t="str">
        <f t="shared" si="39"/>
        <v>D:</v>
      </c>
      <c r="L187" s="21">
        <v>400</v>
      </c>
      <c r="M187" s="22" t="s">
        <v>306</v>
      </c>
      <c r="N187" s="23" t="s">
        <v>198</v>
      </c>
      <c r="O187" s="24" t="s">
        <v>39</v>
      </c>
      <c r="P187" s="53" t="s">
        <v>208</v>
      </c>
      <c r="Q187" s="26" t="str">
        <f t="shared" si="40"/>
        <v>Panel Lateral Corte Sencillo_NG-229*229 / H:2000D:400 mm</v>
      </c>
    </row>
    <row r="188" spans="1:17" ht="20" customHeight="1" outlineLevel="1" x14ac:dyDescent="0.65">
      <c r="A188" s="14">
        <v>169</v>
      </c>
      <c r="B188" s="15" t="str">
        <f t="shared" si="36"/>
        <v>2060PaLCS_NG</v>
      </c>
      <c r="C188" s="16" t="s">
        <v>304</v>
      </c>
      <c r="D188" s="49" t="s">
        <v>329</v>
      </c>
      <c r="E188" s="49"/>
      <c r="F188" s="49"/>
      <c r="G188" s="19" t="str">
        <f t="shared" si="37"/>
        <v>H:</v>
      </c>
      <c r="H188" s="19">
        <v>2000</v>
      </c>
      <c r="I188" s="20" t="str">
        <f t="shared" si="38"/>
        <v/>
      </c>
      <c r="J188" s="20"/>
      <c r="K188" s="21" t="str">
        <f t="shared" si="39"/>
        <v>D:</v>
      </c>
      <c r="L188" s="21">
        <v>600</v>
      </c>
      <c r="M188" s="22" t="s">
        <v>306</v>
      </c>
      <c r="N188" s="23" t="s">
        <v>198</v>
      </c>
      <c r="O188" s="24" t="s">
        <v>39</v>
      </c>
      <c r="P188" s="53" t="s">
        <v>208</v>
      </c>
      <c r="Q188" s="26" t="str">
        <f t="shared" si="40"/>
        <v>Panel Lateral Corte Sencillo_NG-229*229 / H:2000D:600 mm</v>
      </c>
    </row>
    <row r="189" spans="1:17" ht="20" customHeight="1" outlineLevel="1" x14ac:dyDescent="0.65">
      <c r="A189" s="14">
        <v>170</v>
      </c>
      <c r="B189" s="15" t="str">
        <f t="shared" si="36"/>
        <v>2010PaLCS_NG</v>
      </c>
      <c r="C189" s="16" t="s">
        <v>304</v>
      </c>
      <c r="D189" s="49" t="s">
        <v>330</v>
      </c>
      <c r="E189" s="49"/>
      <c r="F189" s="49"/>
      <c r="G189" s="19" t="str">
        <f t="shared" si="37"/>
        <v>H:</v>
      </c>
      <c r="H189" s="19">
        <v>2000</v>
      </c>
      <c r="I189" s="20" t="str">
        <f t="shared" si="38"/>
        <v/>
      </c>
      <c r="J189" s="20"/>
      <c r="K189" s="21" t="str">
        <f t="shared" si="39"/>
        <v>D:</v>
      </c>
      <c r="L189" s="21">
        <v>1000</v>
      </c>
      <c r="M189" s="22" t="s">
        <v>306</v>
      </c>
      <c r="N189" s="23" t="s">
        <v>198</v>
      </c>
      <c r="O189" s="24" t="s">
        <v>39</v>
      </c>
      <c r="P189" s="53" t="s">
        <v>208</v>
      </c>
      <c r="Q189" s="26" t="str">
        <f t="shared" si="40"/>
        <v>Panel Lateral Corte Sencillo_NG-229*229 / H:2000D:1000 mm</v>
      </c>
    </row>
    <row r="190" spans="1:17" ht="20" customHeight="1" outlineLevel="1" x14ac:dyDescent="0.65">
      <c r="A190" s="14">
        <v>171</v>
      </c>
      <c r="B190" s="15" t="str">
        <f t="shared" si="36"/>
        <v>2240PaLCS_NG</v>
      </c>
      <c r="C190" s="16" t="s">
        <v>304</v>
      </c>
      <c r="D190" s="49" t="s">
        <v>331</v>
      </c>
      <c r="E190" s="49"/>
      <c r="F190" s="49"/>
      <c r="G190" s="19" t="str">
        <f t="shared" si="37"/>
        <v>H:</v>
      </c>
      <c r="H190" s="19">
        <v>2200</v>
      </c>
      <c r="I190" s="20" t="str">
        <f t="shared" si="38"/>
        <v/>
      </c>
      <c r="J190" s="20"/>
      <c r="K190" s="21" t="str">
        <f t="shared" si="39"/>
        <v>D:</v>
      </c>
      <c r="L190" s="21">
        <v>400</v>
      </c>
      <c r="M190" s="22" t="s">
        <v>306</v>
      </c>
      <c r="N190" s="23" t="s">
        <v>198</v>
      </c>
      <c r="O190" s="24" t="s">
        <v>39</v>
      </c>
      <c r="P190" s="53" t="s">
        <v>208</v>
      </c>
      <c r="Q190" s="26" t="str">
        <f t="shared" si="40"/>
        <v>Panel Lateral Corte Sencillo_NG-229*229 / H:2200D:400 mm</v>
      </c>
    </row>
    <row r="191" spans="1:17" ht="20" customHeight="1" outlineLevel="1" x14ac:dyDescent="0.65">
      <c r="A191" s="14">
        <v>172</v>
      </c>
      <c r="B191" s="15" t="str">
        <f t="shared" si="36"/>
        <v>2260PaLCS_NG</v>
      </c>
      <c r="C191" s="16" t="s">
        <v>304</v>
      </c>
      <c r="D191" s="49" t="s">
        <v>332</v>
      </c>
      <c r="E191" s="49"/>
      <c r="F191" s="49"/>
      <c r="G191" s="19" t="str">
        <f t="shared" si="37"/>
        <v>H:</v>
      </c>
      <c r="H191" s="19">
        <v>2200</v>
      </c>
      <c r="I191" s="20" t="str">
        <f t="shared" si="38"/>
        <v/>
      </c>
      <c r="J191" s="20"/>
      <c r="K191" s="21" t="str">
        <f t="shared" si="39"/>
        <v>D:</v>
      </c>
      <c r="L191" s="21">
        <v>600</v>
      </c>
      <c r="M191" s="22" t="s">
        <v>306</v>
      </c>
      <c r="N191" s="23" t="s">
        <v>198</v>
      </c>
      <c r="O191" s="24" t="s">
        <v>39</v>
      </c>
      <c r="P191" s="53" t="s">
        <v>208</v>
      </c>
      <c r="Q191" s="26" t="str">
        <f t="shared" si="40"/>
        <v>Panel Lateral Corte Sencillo_NG-229*229 / H:2200D:600 mm</v>
      </c>
    </row>
    <row r="192" spans="1:17" ht="20" customHeight="1" outlineLevel="1" x14ac:dyDescent="0.65">
      <c r="A192" s="14">
        <v>173</v>
      </c>
      <c r="B192" s="15" t="str">
        <f t="shared" si="36"/>
        <v>2210PaLCS_NG</v>
      </c>
      <c r="C192" s="16" t="s">
        <v>304</v>
      </c>
      <c r="D192" s="49" t="s">
        <v>333</v>
      </c>
      <c r="E192" s="49"/>
      <c r="F192" s="49"/>
      <c r="G192" s="19" t="str">
        <f t="shared" si="37"/>
        <v>H:</v>
      </c>
      <c r="H192" s="19">
        <v>2200</v>
      </c>
      <c r="I192" s="20" t="str">
        <f t="shared" si="38"/>
        <v/>
      </c>
      <c r="J192" s="20"/>
      <c r="K192" s="21" t="str">
        <f t="shared" si="39"/>
        <v>D:</v>
      </c>
      <c r="L192" s="21">
        <v>1000</v>
      </c>
      <c r="M192" s="22" t="s">
        <v>306</v>
      </c>
      <c r="N192" s="23" t="s">
        <v>198</v>
      </c>
      <c r="O192" s="24" t="s">
        <v>39</v>
      </c>
      <c r="P192" s="53" t="s">
        <v>208</v>
      </c>
      <c r="Q192" s="26" t="str">
        <f t="shared" si="40"/>
        <v>Panel Lateral Corte Sencillo_NG-229*229 / H:2200D:1000 mm</v>
      </c>
    </row>
    <row r="193" spans="1:17" ht="20" customHeight="1" outlineLevel="1" x14ac:dyDescent="0.65">
      <c r="A193" s="14">
        <v>174</v>
      </c>
      <c r="B193" s="15" t="str">
        <f t="shared" si="36"/>
        <v>1840PaLCS_NM</v>
      </c>
      <c r="C193" s="16" t="s">
        <v>304</v>
      </c>
      <c r="D193" s="49" t="s">
        <v>334</v>
      </c>
      <c r="E193" s="49"/>
      <c r="F193" s="49"/>
      <c r="G193" s="19" t="str">
        <f t="shared" si="37"/>
        <v>H:</v>
      </c>
      <c r="H193" s="19">
        <v>1800</v>
      </c>
      <c r="I193" s="20" t="str">
        <f t="shared" si="38"/>
        <v/>
      </c>
      <c r="J193" s="20"/>
      <c r="K193" s="21" t="str">
        <f t="shared" si="39"/>
        <v>D:</v>
      </c>
      <c r="L193" s="21">
        <v>400</v>
      </c>
      <c r="M193" s="22" t="s">
        <v>306</v>
      </c>
      <c r="N193" s="23" t="s">
        <v>198</v>
      </c>
      <c r="O193" s="24" t="s">
        <v>39</v>
      </c>
      <c r="P193" s="53" t="s">
        <v>217</v>
      </c>
      <c r="Q193" s="26" t="str">
        <f t="shared" si="40"/>
        <v>Panel Lateral Corte Sencillo_NM-180*180 / H:1800D:400 mm</v>
      </c>
    </row>
    <row r="194" spans="1:17" ht="20" customHeight="1" outlineLevel="1" x14ac:dyDescent="0.65">
      <c r="A194" s="14">
        <v>175</v>
      </c>
      <c r="B194" s="15" t="str">
        <f t="shared" si="36"/>
        <v>1860PaLCS_NM</v>
      </c>
      <c r="C194" s="16" t="s">
        <v>304</v>
      </c>
      <c r="D194" s="49" t="s">
        <v>335</v>
      </c>
      <c r="E194" s="49"/>
      <c r="F194" s="49"/>
      <c r="G194" s="19" t="str">
        <f t="shared" si="37"/>
        <v>H:</v>
      </c>
      <c r="H194" s="19">
        <v>1800</v>
      </c>
      <c r="I194" s="20" t="str">
        <f t="shared" si="38"/>
        <v/>
      </c>
      <c r="J194" s="20"/>
      <c r="K194" s="21" t="str">
        <f t="shared" si="39"/>
        <v>D:</v>
      </c>
      <c r="L194" s="21">
        <v>600</v>
      </c>
      <c r="M194" s="22" t="s">
        <v>306</v>
      </c>
      <c r="N194" s="23" t="s">
        <v>198</v>
      </c>
      <c r="O194" s="24" t="s">
        <v>39</v>
      </c>
      <c r="P194" s="53" t="s">
        <v>217</v>
      </c>
      <c r="Q194" s="26" t="str">
        <f t="shared" si="40"/>
        <v>Panel Lateral Corte Sencillo_NM-180*180 / H:1800D:600 mm</v>
      </c>
    </row>
    <row r="195" spans="1:17" ht="20" customHeight="1" outlineLevel="1" x14ac:dyDescent="0.65">
      <c r="A195" s="14">
        <v>176</v>
      </c>
      <c r="B195" s="15" t="str">
        <f t="shared" si="36"/>
        <v>1810PaLCS_NM</v>
      </c>
      <c r="C195" s="16" t="s">
        <v>304</v>
      </c>
      <c r="D195" s="49" t="s">
        <v>336</v>
      </c>
      <c r="E195" s="49"/>
      <c r="F195" s="49"/>
      <c r="G195" s="19" t="str">
        <f t="shared" si="37"/>
        <v>H:</v>
      </c>
      <c r="H195" s="19">
        <v>1800</v>
      </c>
      <c r="I195" s="20" t="str">
        <f t="shared" si="38"/>
        <v/>
      </c>
      <c r="J195" s="20"/>
      <c r="K195" s="21" t="str">
        <f t="shared" si="39"/>
        <v>D:</v>
      </c>
      <c r="L195" s="21">
        <v>1000</v>
      </c>
      <c r="M195" s="22" t="s">
        <v>306</v>
      </c>
      <c r="N195" s="23" t="s">
        <v>198</v>
      </c>
      <c r="O195" s="24" t="s">
        <v>39</v>
      </c>
      <c r="P195" s="53" t="s">
        <v>217</v>
      </c>
      <c r="Q195" s="26" t="str">
        <f t="shared" si="40"/>
        <v>Panel Lateral Corte Sencillo_NM-180*180 / H:1800D:1000 mm</v>
      </c>
    </row>
    <row r="196" spans="1:17" ht="20" customHeight="1" outlineLevel="1" x14ac:dyDescent="0.65">
      <c r="A196" s="14">
        <v>177</v>
      </c>
      <c r="B196" s="15" t="str">
        <f t="shared" si="36"/>
        <v>2040PaLCS_NM</v>
      </c>
      <c r="C196" s="16" t="s">
        <v>304</v>
      </c>
      <c r="D196" s="49" t="s">
        <v>337</v>
      </c>
      <c r="E196" s="49"/>
      <c r="F196" s="49"/>
      <c r="G196" s="19" t="str">
        <f t="shared" si="37"/>
        <v>H:</v>
      </c>
      <c r="H196" s="19">
        <v>2000</v>
      </c>
      <c r="I196" s="20" t="str">
        <f t="shared" si="38"/>
        <v/>
      </c>
      <c r="J196" s="20"/>
      <c r="K196" s="21" t="str">
        <f t="shared" si="39"/>
        <v>D:</v>
      </c>
      <c r="L196" s="21">
        <v>400</v>
      </c>
      <c r="M196" s="22" t="s">
        <v>306</v>
      </c>
      <c r="N196" s="23" t="s">
        <v>198</v>
      </c>
      <c r="O196" s="24" t="s">
        <v>39</v>
      </c>
      <c r="P196" s="53" t="s">
        <v>217</v>
      </c>
      <c r="Q196" s="26" t="str">
        <f t="shared" si="40"/>
        <v>Panel Lateral Corte Sencillo_NM-180*180 / H:2000D:400 mm</v>
      </c>
    </row>
    <row r="197" spans="1:17" ht="20" customHeight="1" outlineLevel="1" x14ac:dyDescent="0.65">
      <c r="A197" s="14">
        <v>178</v>
      </c>
      <c r="B197" s="15" t="str">
        <f t="shared" si="36"/>
        <v>2060PaLCS_NM</v>
      </c>
      <c r="C197" s="16" t="s">
        <v>304</v>
      </c>
      <c r="D197" s="49" t="s">
        <v>338</v>
      </c>
      <c r="E197" s="49"/>
      <c r="F197" s="49"/>
      <c r="G197" s="19" t="str">
        <f t="shared" si="37"/>
        <v>H:</v>
      </c>
      <c r="H197" s="19">
        <v>2000</v>
      </c>
      <c r="I197" s="20" t="str">
        <f t="shared" si="38"/>
        <v/>
      </c>
      <c r="J197" s="20"/>
      <c r="K197" s="21" t="str">
        <f t="shared" si="39"/>
        <v>D:</v>
      </c>
      <c r="L197" s="21">
        <v>600</v>
      </c>
      <c r="M197" s="22" t="s">
        <v>306</v>
      </c>
      <c r="N197" s="23" t="s">
        <v>198</v>
      </c>
      <c r="O197" s="24" t="s">
        <v>39</v>
      </c>
      <c r="P197" s="53" t="s">
        <v>217</v>
      </c>
      <c r="Q197" s="26" t="str">
        <f t="shared" si="40"/>
        <v>Panel Lateral Corte Sencillo_NM-180*180 / H:2000D:600 mm</v>
      </c>
    </row>
    <row r="198" spans="1:17" ht="20" customHeight="1" outlineLevel="1" x14ac:dyDescent="0.65">
      <c r="A198" s="14">
        <v>179</v>
      </c>
      <c r="B198" s="15" t="str">
        <f t="shared" si="36"/>
        <v>2010PaLCS_NM</v>
      </c>
      <c r="C198" s="16" t="s">
        <v>304</v>
      </c>
      <c r="D198" s="49" t="s">
        <v>339</v>
      </c>
      <c r="E198" s="49"/>
      <c r="F198" s="49"/>
      <c r="G198" s="19" t="str">
        <f t="shared" si="37"/>
        <v>H:</v>
      </c>
      <c r="H198" s="19">
        <v>2000</v>
      </c>
      <c r="I198" s="20" t="str">
        <f t="shared" si="38"/>
        <v/>
      </c>
      <c r="J198" s="20"/>
      <c r="K198" s="21" t="str">
        <f t="shared" si="39"/>
        <v>D:</v>
      </c>
      <c r="L198" s="21">
        <v>1000</v>
      </c>
      <c r="M198" s="22" t="s">
        <v>306</v>
      </c>
      <c r="N198" s="23" t="s">
        <v>198</v>
      </c>
      <c r="O198" s="24" t="s">
        <v>39</v>
      </c>
      <c r="P198" s="53" t="s">
        <v>217</v>
      </c>
      <c r="Q198" s="26" t="str">
        <f t="shared" si="40"/>
        <v>Panel Lateral Corte Sencillo_NM-180*180 / H:2000D:1000 mm</v>
      </c>
    </row>
    <row r="199" spans="1:17" ht="20" customHeight="1" outlineLevel="1" x14ac:dyDescent="0.65">
      <c r="A199" s="14">
        <v>180</v>
      </c>
      <c r="B199" s="15" t="str">
        <f t="shared" si="36"/>
        <v>2240PaLCS_NM</v>
      </c>
      <c r="C199" s="16" t="s">
        <v>304</v>
      </c>
      <c r="D199" s="49" t="s">
        <v>340</v>
      </c>
      <c r="E199" s="49"/>
      <c r="F199" s="49"/>
      <c r="G199" s="19" t="str">
        <f t="shared" si="37"/>
        <v>H:</v>
      </c>
      <c r="H199" s="19">
        <v>2200</v>
      </c>
      <c r="I199" s="20" t="str">
        <f t="shared" si="38"/>
        <v/>
      </c>
      <c r="J199" s="20"/>
      <c r="K199" s="21" t="str">
        <f t="shared" si="39"/>
        <v>D:</v>
      </c>
      <c r="L199" s="21">
        <v>400</v>
      </c>
      <c r="M199" s="22" t="s">
        <v>306</v>
      </c>
      <c r="N199" s="23" t="s">
        <v>198</v>
      </c>
      <c r="O199" s="24" t="s">
        <v>39</v>
      </c>
      <c r="P199" s="53" t="s">
        <v>217</v>
      </c>
      <c r="Q199" s="26" t="str">
        <f t="shared" si="40"/>
        <v>Panel Lateral Corte Sencillo_NM-180*180 / H:2200D:400 mm</v>
      </c>
    </row>
    <row r="200" spans="1:17" ht="20" customHeight="1" outlineLevel="1" x14ac:dyDescent="0.65">
      <c r="A200" s="14">
        <v>181</v>
      </c>
      <c r="B200" s="15" t="str">
        <f t="shared" si="36"/>
        <v>2260PaLCS_NM</v>
      </c>
      <c r="C200" s="16" t="s">
        <v>304</v>
      </c>
      <c r="D200" s="49" t="s">
        <v>341</v>
      </c>
      <c r="E200" s="49"/>
      <c r="F200" s="49"/>
      <c r="G200" s="19" t="str">
        <f t="shared" si="37"/>
        <v>H:</v>
      </c>
      <c r="H200" s="19">
        <v>2200</v>
      </c>
      <c r="I200" s="20" t="str">
        <f t="shared" si="38"/>
        <v/>
      </c>
      <c r="J200" s="20"/>
      <c r="K200" s="21" t="str">
        <f t="shared" si="39"/>
        <v>D:</v>
      </c>
      <c r="L200" s="21">
        <v>600</v>
      </c>
      <c r="M200" s="22" t="s">
        <v>306</v>
      </c>
      <c r="N200" s="23" t="s">
        <v>198</v>
      </c>
      <c r="O200" s="24" t="s">
        <v>39</v>
      </c>
      <c r="P200" s="53" t="s">
        <v>217</v>
      </c>
      <c r="Q200" s="26" t="str">
        <f t="shared" si="40"/>
        <v>Panel Lateral Corte Sencillo_NM-180*180 / H:2200D:600 mm</v>
      </c>
    </row>
    <row r="201" spans="1:17" ht="20" customHeight="1" outlineLevel="1" x14ac:dyDescent="0.65">
      <c r="A201" s="14">
        <v>182</v>
      </c>
      <c r="B201" s="15" t="str">
        <f t="shared" si="36"/>
        <v>2210PaLCS_NM</v>
      </c>
      <c r="C201" s="16" t="s">
        <v>304</v>
      </c>
      <c r="D201" s="49" t="s">
        <v>342</v>
      </c>
      <c r="E201" s="49"/>
      <c r="F201" s="49"/>
      <c r="G201" s="19" t="str">
        <f t="shared" si="37"/>
        <v>H:</v>
      </c>
      <c r="H201" s="19">
        <v>2200</v>
      </c>
      <c r="I201" s="20" t="str">
        <f t="shared" si="38"/>
        <v/>
      </c>
      <c r="J201" s="20"/>
      <c r="K201" s="21" t="str">
        <f t="shared" si="39"/>
        <v>D:</v>
      </c>
      <c r="L201" s="21">
        <v>1000</v>
      </c>
      <c r="M201" s="22" t="s">
        <v>306</v>
      </c>
      <c r="N201" s="23" t="s">
        <v>198</v>
      </c>
      <c r="O201" s="24" t="s">
        <v>39</v>
      </c>
      <c r="P201" s="53" t="s">
        <v>217</v>
      </c>
      <c r="Q201" s="26" t="str">
        <f t="shared" si="40"/>
        <v>Panel Lateral Corte Sencillo_NM-180*180 / H:2200D:1000 mm</v>
      </c>
    </row>
    <row r="202" spans="1:17" ht="20" customHeight="1" outlineLevel="1" x14ac:dyDescent="0.65">
      <c r="A202" s="14">
        <v>183</v>
      </c>
      <c r="B202" s="15" t="str">
        <f t="shared" si="36"/>
        <v>1840PaLCS_NP</v>
      </c>
      <c r="C202" s="16" t="s">
        <v>304</v>
      </c>
      <c r="D202" s="49" t="s">
        <v>343</v>
      </c>
      <c r="E202" s="49"/>
      <c r="F202" s="49"/>
      <c r="G202" s="19" t="str">
        <f t="shared" si="37"/>
        <v>H:</v>
      </c>
      <c r="H202" s="19">
        <v>1800</v>
      </c>
      <c r="I202" s="20" t="str">
        <f t="shared" si="38"/>
        <v/>
      </c>
      <c r="J202" s="20"/>
      <c r="K202" s="21" t="str">
        <f t="shared" si="39"/>
        <v>D:</v>
      </c>
      <c r="L202" s="21">
        <v>400</v>
      </c>
      <c r="M202" s="22" t="s">
        <v>306</v>
      </c>
      <c r="N202" s="23" t="s">
        <v>198</v>
      </c>
      <c r="O202" s="24" t="s">
        <v>39</v>
      </c>
      <c r="P202" s="53" t="s">
        <v>226</v>
      </c>
      <c r="Q202" s="26" t="str">
        <f t="shared" si="40"/>
        <v>Panel Lateral Corte Sencillo_NP-125*125 / H:1800D:400 mm</v>
      </c>
    </row>
    <row r="203" spans="1:17" ht="20" customHeight="1" outlineLevel="1" x14ac:dyDescent="0.65">
      <c r="A203" s="14">
        <v>184</v>
      </c>
      <c r="B203" s="15" t="str">
        <f t="shared" si="36"/>
        <v>1860PaLCS_NP</v>
      </c>
      <c r="C203" s="16" t="s">
        <v>304</v>
      </c>
      <c r="D203" s="49" t="s">
        <v>344</v>
      </c>
      <c r="E203" s="49"/>
      <c r="F203" s="49"/>
      <c r="G203" s="19" t="str">
        <f t="shared" si="37"/>
        <v>H:</v>
      </c>
      <c r="H203" s="19">
        <v>1800</v>
      </c>
      <c r="I203" s="20" t="str">
        <f t="shared" si="38"/>
        <v/>
      </c>
      <c r="J203" s="20"/>
      <c r="K203" s="21" t="str">
        <f t="shared" si="39"/>
        <v>D:</v>
      </c>
      <c r="L203" s="21">
        <v>600</v>
      </c>
      <c r="M203" s="22" t="s">
        <v>306</v>
      </c>
      <c r="N203" s="23" t="s">
        <v>198</v>
      </c>
      <c r="O203" s="24" t="s">
        <v>39</v>
      </c>
      <c r="P203" s="53" t="s">
        <v>226</v>
      </c>
      <c r="Q203" s="26" t="str">
        <f t="shared" si="40"/>
        <v>Panel Lateral Corte Sencillo_NP-125*125 / H:1800D:600 mm</v>
      </c>
    </row>
    <row r="204" spans="1:17" ht="20" customHeight="1" outlineLevel="1" x14ac:dyDescent="0.65">
      <c r="A204" s="14">
        <v>185</v>
      </c>
      <c r="B204" s="15" t="str">
        <f t="shared" si="36"/>
        <v>1810PaLCS_NP</v>
      </c>
      <c r="C204" s="16" t="s">
        <v>304</v>
      </c>
      <c r="D204" s="49" t="s">
        <v>345</v>
      </c>
      <c r="E204" s="49"/>
      <c r="F204" s="49"/>
      <c r="G204" s="19" t="str">
        <f t="shared" si="37"/>
        <v>H:</v>
      </c>
      <c r="H204" s="19">
        <v>1800</v>
      </c>
      <c r="I204" s="20" t="str">
        <f t="shared" si="38"/>
        <v/>
      </c>
      <c r="J204" s="20"/>
      <c r="K204" s="21" t="str">
        <f t="shared" si="39"/>
        <v>D:</v>
      </c>
      <c r="L204" s="21">
        <v>1000</v>
      </c>
      <c r="M204" s="22" t="s">
        <v>306</v>
      </c>
      <c r="N204" s="23" t="s">
        <v>198</v>
      </c>
      <c r="O204" s="24" t="s">
        <v>39</v>
      </c>
      <c r="P204" s="53" t="s">
        <v>226</v>
      </c>
      <c r="Q204" s="26" t="str">
        <f t="shared" si="40"/>
        <v>Panel Lateral Corte Sencillo_NP-125*125 / H:1800D:1000 mm</v>
      </c>
    </row>
    <row r="205" spans="1:17" ht="20" customHeight="1" outlineLevel="1" x14ac:dyDescent="0.65">
      <c r="A205" s="14">
        <v>186</v>
      </c>
      <c r="B205" s="15" t="str">
        <f t="shared" si="36"/>
        <v>2040PaLCS_NP</v>
      </c>
      <c r="C205" s="16" t="s">
        <v>304</v>
      </c>
      <c r="D205" s="49" t="s">
        <v>346</v>
      </c>
      <c r="E205" s="49"/>
      <c r="F205" s="49"/>
      <c r="G205" s="19" t="str">
        <f t="shared" si="37"/>
        <v>H:</v>
      </c>
      <c r="H205" s="19">
        <v>2000</v>
      </c>
      <c r="I205" s="20" t="str">
        <f t="shared" si="38"/>
        <v/>
      </c>
      <c r="J205" s="20"/>
      <c r="K205" s="21" t="str">
        <f t="shared" si="39"/>
        <v>D:</v>
      </c>
      <c r="L205" s="21">
        <v>400</v>
      </c>
      <c r="M205" s="22" t="s">
        <v>306</v>
      </c>
      <c r="N205" s="23" t="s">
        <v>198</v>
      </c>
      <c r="O205" s="24" t="s">
        <v>39</v>
      </c>
      <c r="P205" s="53" t="s">
        <v>226</v>
      </c>
      <c r="Q205" s="26" t="str">
        <f t="shared" si="40"/>
        <v>Panel Lateral Corte Sencillo_NP-125*125 / H:2000D:400 mm</v>
      </c>
    </row>
    <row r="206" spans="1:17" ht="20" customHeight="1" outlineLevel="1" x14ac:dyDescent="0.65">
      <c r="A206" s="14">
        <v>187</v>
      </c>
      <c r="B206" s="15" t="str">
        <f t="shared" si="36"/>
        <v>2060PaLCS_NP</v>
      </c>
      <c r="C206" s="16" t="s">
        <v>304</v>
      </c>
      <c r="D206" s="49" t="s">
        <v>347</v>
      </c>
      <c r="E206" s="49"/>
      <c r="F206" s="49"/>
      <c r="G206" s="19" t="str">
        <f t="shared" si="37"/>
        <v>H:</v>
      </c>
      <c r="H206" s="19">
        <v>2000</v>
      </c>
      <c r="I206" s="20" t="str">
        <f t="shared" si="38"/>
        <v/>
      </c>
      <c r="J206" s="20"/>
      <c r="K206" s="21" t="str">
        <f t="shared" si="39"/>
        <v>D:</v>
      </c>
      <c r="L206" s="21">
        <v>600</v>
      </c>
      <c r="M206" s="22" t="s">
        <v>306</v>
      </c>
      <c r="N206" s="23" t="s">
        <v>198</v>
      </c>
      <c r="O206" s="24" t="s">
        <v>39</v>
      </c>
      <c r="P206" s="53" t="s">
        <v>226</v>
      </c>
      <c r="Q206" s="26" t="str">
        <f t="shared" si="40"/>
        <v>Panel Lateral Corte Sencillo_NP-125*125 / H:2000D:600 mm</v>
      </c>
    </row>
    <row r="207" spans="1:17" ht="20" customHeight="1" outlineLevel="1" x14ac:dyDescent="0.65">
      <c r="A207" s="14">
        <v>188</v>
      </c>
      <c r="B207" s="15" t="str">
        <f t="shared" si="36"/>
        <v>2010PaLCS_NP</v>
      </c>
      <c r="C207" s="16" t="s">
        <v>304</v>
      </c>
      <c r="D207" s="49" t="s">
        <v>348</v>
      </c>
      <c r="E207" s="49"/>
      <c r="F207" s="49"/>
      <c r="G207" s="19" t="str">
        <f t="shared" si="37"/>
        <v>H:</v>
      </c>
      <c r="H207" s="19">
        <v>2000</v>
      </c>
      <c r="I207" s="20" t="str">
        <f t="shared" si="38"/>
        <v/>
      </c>
      <c r="J207" s="20"/>
      <c r="K207" s="21" t="str">
        <f t="shared" si="39"/>
        <v>D:</v>
      </c>
      <c r="L207" s="21">
        <v>1000</v>
      </c>
      <c r="M207" s="22" t="s">
        <v>306</v>
      </c>
      <c r="N207" s="23" t="s">
        <v>198</v>
      </c>
      <c r="O207" s="24" t="s">
        <v>39</v>
      </c>
      <c r="P207" s="53" t="s">
        <v>226</v>
      </c>
      <c r="Q207" s="26" t="str">
        <f t="shared" si="40"/>
        <v>Panel Lateral Corte Sencillo_NP-125*125 / H:2000D:1000 mm</v>
      </c>
    </row>
    <row r="208" spans="1:17" ht="20" customHeight="1" outlineLevel="1" x14ac:dyDescent="0.65">
      <c r="A208" s="14">
        <v>189</v>
      </c>
      <c r="B208" s="15" t="str">
        <f t="shared" si="36"/>
        <v>2240PaLCS_NP</v>
      </c>
      <c r="C208" s="16" t="s">
        <v>304</v>
      </c>
      <c r="D208" s="49" t="s">
        <v>349</v>
      </c>
      <c r="E208" s="49"/>
      <c r="F208" s="49"/>
      <c r="G208" s="19" t="str">
        <f t="shared" si="37"/>
        <v>H:</v>
      </c>
      <c r="H208" s="19">
        <v>2200</v>
      </c>
      <c r="I208" s="20" t="str">
        <f t="shared" si="38"/>
        <v/>
      </c>
      <c r="J208" s="20"/>
      <c r="K208" s="21" t="str">
        <f t="shared" si="39"/>
        <v>D:</v>
      </c>
      <c r="L208" s="21">
        <v>400</v>
      </c>
      <c r="M208" s="22" t="s">
        <v>306</v>
      </c>
      <c r="N208" s="23" t="s">
        <v>198</v>
      </c>
      <c r="O208" s="24" t="s">
        <v>39</v>
      </c>
      <c r="P208" s="53" t="s">
        <v>226</v>
      </c>
      <c r="Q208" s="26" t="str">
        <f t="shared" si="40"/>
        <v>Panel Lateral Corte Sencillo_NP-125*125 / H:2200D:400 mm</v>
      </c>
    </row>
    <row r="209" spans="1:17" ht="20" customHeight="1" outlineLevel="1" x14ac:dyDescent="0.65">
      <c r="A209" s="14">
        <v>190</v>
      </c>
      <c r="B209" s="15" t="str">
        <f t="shared" si="36"/>
        <v>2260PaLCS_NP</v>
      </c>
      <c r="C209" s="16" t="s">
        <v>304</v>
      </c>
      <c r="D209" s="49" t="s">
        <v>350</v>
      </c>
      <c r="E209" s="49"/>
      <c r="F209" s="49"/>
      <c r="G209" s="19" t="str">
        <f t="shared" si="37"/>
        <v>H:</v>
      </c>
      <c r="H209" s="19">
        <v>2200</v>
      </c>
      <c r="I209" s="20" t="str">
        <f t="shared" si="38"/>
        <v/>
      </c>
      <c r="J209" s="20"/>
      <c r="K209" s="21" t="str">
        <f t="shared" si="39"/>
        <v>D:</v>
      </c>
      <c r="L209" s="21">
        <v>600</v>
      </c>
      <c r="M209" s="22" t="s">
        <v>306</v>
      </c>
      <c r="N209" s="23" t="s">
        <v>198</v>
      </c>
      <c r="O209" s="24" t="s">
        <v>39</v>
      </c>
      <c r="P209" s="53" t="s">
        <v>226</v>
      </c>
      <c r="Q209" s="26" t="str">
        <f t="shared" si="40"/>
        <v>Panel Lateral Corte Sencillo_NP-125*125 / H:2200D:600 mm</v>
      </c>
    </row>
    <row r="210" spans="1:17" ht="20" customHeight="1" outlineLevel="1" x14ac:dyDescent="0.65">
      <c r="A210" s="14">
        <v>191</v>
      </c>
      <c r="B210" s="15" t="str">
        <f t="shared" si="36"/>
        <v>2210PaLCS_NP</v>
      </c>
      <c r="C210" s="16" t="s">
        <v>304</v>
      </c>
      <c r="D210" s="49" t="s">
        <v>351</v>
      </c>
      <c r="E210" s="49"/>
      <c r="F210" s="49"/>
      <c r="G210" s="19" t="str">
        <f t="shared" si="37"/>
        <v>H:</v>
      </c>
      <c r="H210" s="19">
        <v>2200</v>
      </c>
      <c r="I210" s="20" t="str">
        <f t="shared" si="38"/>
        <v/>
      </c>
      <c r="J210" s="20"/>
      <c r="K210" s="21" t="str">
        <f t="shared" si="39"/>
        <v>D:</v>
      </c>
      <c r="L210" s="21">
        <v>1000</v>
      </c>
      <c r="M210" s="22" t="s">
        <v>306</v>
      </c>
      <c r="N210" s="23" t="s">
        <v>198</v>
      </c>
      <c r="O210" s="24" t="s">
        <v>39</v>
      </c>
      <c r="P210" s="53" t="s">
        <v>226</v>
      </c>
      <c r="Q210" s="26" t="str">
        <f t="shared" si="40"/>
        <v>Panel Lateral Corte Sencillo_NP-125*125 / H:2200D:1000 mm</v>
      </c>
    </row>
    <row r="211" spans="1:17" ht="20" customHeight="1" x14ac:dyDescent="0.65">
      <c r="B211" s="45" t="str">
        <f t="shared" ref="B211:B274" si="41">MID(H211,1,2)&amp;MID(J211,1,2)&amp;MID(L211,1,2)&amp;MID(C211,1,2)&amp;MID(M211,1,1)&amp;MID(N211,1,1)&amp;MID(O211,1,1)&amp;MID(P211,1,3)</f>
        <v/>
      </c>
      <c r="C211" s="1"/>
      <c r="M211" s="1"/>
      <c r="N211" s="1"/>
      <c r="O211" s="1"/>
      <c r="P211" s="1"/>
      <c r="Q211" s="46"/>
    </row>
    <row r="212" spans="1:17" ht="20" customHeight="1" outlineLevel="1" x14ac:dyDescent="0.65">
      <c r="A212" s="14">
        <v>192</v>
      </c>
      <c r="B212" s="15" t="str">
        <f t="shared" si="41"/>
        <v>1820PaPP</v>
      </c>
      <c r="C212" s="16" t="s">
        <v>304</v>
      </c>
      <c r="D212" s="49" t="s">
        <v>352</v>
      </c>
      <c r="E212" s="49"/>
      <c r="F212" s="49"/>
      <c r="G212" s="19" t="str">
        <f t="shared" ref="G212:G275" si="42">IF(H212&lt;&gt;"","H:","")</f>
        <v>H:</v>
      </c>
      <c r="H212" s="19">
        <v>1800</v>
      </c>
      <c r="I212" s="20" t="str">
        <f t="shared" ref="I212:I275" si="43">IF(J212&lt;&gt;"","W:","")</f>
        <v>W:</v>
      </c>
      <c r="J212" s="21">
        <v>200</v>
      </c>
      <c r="K212" s="21" t="str">
        <f t="shared" ref="K212:K275" si="44">IF(L212&lt;&gt;"","D:","")</f>
        <v/>
      </c>
      <c r="L212" s="21"/>
      <c r="M212" s="22" t="s">
        <v>353</v>
      </c>
      <c r="N212" s="23" t="s">
        <v>45</v>
      </c>
      <c r="O212" s="24"/>
      <c r="P212" s="25"/>
      <c r="Q212" s="26" t="str">
        <f t="shared" ref="Q212:Q275" si="45">IF(B212&lt;&gt;"",(C212&amp;M212&amp;N212&amp;O212&amp;P212&amp;" / "&amp;G212&amp;H212&amp;I212&amp;J212&amp;K212&amp;L212&amp;" mm"),"")</f>
        <v>Panel Posterior Pleno / H:1800W:200 mm</v>
      </c>
    </row>
    <row r="213" spans="1:17" ht="20" customHeight="1" outlineLevel="1" x14ac:dyDescent="0.65">
      <c r="A213" s="14">
        <v>193</v>
      </c>
      <c r="B213" s="15" t="str">
        <f t="shared" si="41"/>
        <v>1840PaPP</v>
      </c>
      <c r="C213" s="16" t="s">
        <v>304</v>
      </c>
      <c r="D213" s="49" t="s">
        <v>354</v>
      </c>
      <c r="E213" s="49"/>
      <c r="F213" s="49"/>
      <c r="G213" s="19" t="str">
        <f t="shared" si="42"/>
        <v>H:</v>
      </c>
      <c r="H213" s="19">
        <v>1800</v>
      </c>
      <c r="I213" s="20" t="str">
        <f t="shared" si="43"/>
        <v>W:</v>
      </c>
      <c r="J213" s="21">
        <v>400</v>
      </c>
      <c r="K213" s="21" t="str">
        <f t="shared" si="44"/>
        <v/>
      </c>
      <c r="L213" s="21"/>
      <c r="M213" s="22" t="s">
        <v>353</v>
      </c>
      <c r="N213" s="23" t="s">
        <v>45</v>
      </c>
      <c r="O213" s="24"/>
      <c r="P213" s="25"/>
      <c r="Q213" s="26" t="str">
        <f t="shared" si="45"/>
        <v>Panel Posterior Pleno / H:1800W:400 mm</v>
      </c>
    </row>
    <row r="214" spans="1:17" ht="20" customHeight="1" outlineLevel="1" x14ac:dyDescent="0.65">
      <c r="A214" s="14">
        <v>194</v>
      </c>
      <c r="B214" s="15" t="str">
        <f t="shared" si="41"/>
        <v>1872PaPP</v>
      </c>
      <c r="C214" s="16" t="s">
        <v>304</v>
      </c>
      <c r="D214" s="49" t="s">
        <v>355</v>
      </c>
      <c r="E214" s="49"/>
      <c r="F214" s="49"/>
      <c r="G214" s="19" t="str">
        <f t="shared" si="42"/>
        <v>H:</v>
      </c>
      <c r="H214" s="19">
        <v>1800</v>
      </c>
      <c r="I214" s="20" t="str">
        <f t="shared" si="43"/>
        <v>W:</v>
      </c>
      <c r="J214" s="21">
        <v>720</v>
      </c>
      <c r="K214" s="21" t="str">
        <f t="shared" si="44"/>
        <v/>
      </c>
      <c r="L214" s="21"/>
      <c r="M214" s="22" t="s">
        <v>353</v>
      </c>
      <c r="N214" s="23" t="s">
        <v>45</v>
      </c>
      <c r="O214" s="24"/>
      <c r="P214" s="25"/>
      <c r="Q214" s="26" t="str">
        <f t="shared" si="45"/>
        <v>Panel Posterior Pleno / H:1800W:720 mm</v>
      </c>
    </row>
    <row r="215" spans="1:17" ht="20" customHeight="1" outlineLevel="1" x14ac:dyDescent="0.65">
      <c r="A215" s="14">
        <v>195</v>
      </c>
      <c r="B215" s="15" t="str">
        <f t="shared" si="41"/>
        <v>1811PaPP</v>
      </c>
      <c r="C215" s="16" t="s">
        <v>304</v>
      </c>
      <c r="D215" s="49" t="s">
        <v>356</v>
      </c>
      <c r="E215" s="49"/>
      <c r="F215" s="49"/>
      <c r="G215" s="19" t="str">
        <f t="shared" si="42"/>
        <v>H:</v>
      </c>
      <c r="H215" s="19">
        <v>1800</v>
      </c>
      <c r="I215" s="20" t="str">
        <f t="shared" si="43"/>
        <v>W:</v>
      </c>
      <c r="J215" s="21">
        <v>1120</v>
      </c>
      <c r="K215" s="21" t="str">
        <f t="shared" si="44"/>
        <v/>
      </c>
      <c r="L215" s="21"/>
      <c r="M215" s="22" t="s">
        <v>353</v>
      </c>
      <c r="N215" s="23" t="s">
        <v>45</v>
      </c>
      <c r="O215" s="24"/>
      <c r="P215" s="25"/>
      <c r="Q215" s="26" t="str">
        <f t="shared" si="45"/>
        <v>Panel Posterior Pleno / H:1800W:1120 mm</v>
      </c>
    </row>
    <row r="216" spans="1:17" ht="20" customHeight="1" outlineLevel="1" x14ac:dyDescent="0.65">
      <c r="A216" s="14">
        <v>196</v>
      </c>
      <c r="B216" s="15" t="str">
        <f t="shared" si="41"/>
        <v>2020PaPP</v>
      </c>
      <c r="C216" s="16" t="s">
        <v>304</v>
      </c>
      <c r="D216" s="49" t="s">
        <v>357</v>
      </c>
      <c r="E216" s="49"/>
      <c r="F216" s="49"/>
      <c r="G216" s="19" t="str">
        <f t="shared" si="42"/>
        <v>H:</v>
      </c>
      <c r="H216" s="19">
        <v>2000</v>
      </c>
      <c r="I216" s="20" t="str">
        <f t="shared" si="43"/>
        <v>W:</v>
      </c>
      <c r="J216" s="21">
        <v>200</v>
      </c>
      <c r="K216" s="21" t="str">
        <f t="shared" si="44"/>
        <v/>
      </c>
      <c r="L216" s="21"/>
      <c r="M216" s="22" t="s">
        <v>353</v>
      </c>
      <c r="N216" s="23" t="s">
        <v>45</v>
      </c>
      <c r="O216" s="24"/>
      <c r="P216" s="25"/>
      <c r="Q216" s="26" t="str">
        <f t="shared" si="45"/>
        <v>Panel Posterior Pleno / H:2000W:200 mm</v>
      </c>
    </row>
    <row r="217" spans="1:17" ht="20" customHeight="1" outlineLevel="1" x14ac:dyDescent="0.65">
      <c r="A217" s="14">
        <v>197</v>
      </c>
      <c r="B217" s="15" t="str">
        <f t="shared" si="41"/>
        <v>2040PaPP</v>
      </c>
      <c r="C217" s="16" t="s">
        <v>304</v>
      </c>
      <c r="D217" s="49" t="s">
        <v>358</v>
      </c>
      <c r="E217" s="49"/>
      <c r="F217" s="49"/>
      <c r="G217" s="19" t="str">
        <f t="shared" si="42"/>
        <v>H:</v>
      </c>
      <c r="H217" s="19">
        <v>2000</v>
      </c>
      <c r="I217" s="20" t="str">
        <f t="shared" si="43"/>
        <v>W:</v>
      </c>
      <c r="J217" s="21">
        <v>400</v>
      </c>
      <c r="K217" s="21" t="str">
        <f t="shared" si="44"/>
        <v/>
      </c>
      <c r="L217" s="21"/>
      <c r="M217" s="22" t="s">
        <v>353</v>
      </c>
      <c r="N217" s="23" t="s">
        <v>45</v>
      </c>
      <c r="O217" s="24"/>
      <c r="P217" s="25"/>
      <c r="Q217" s="26" t="str">
        <f t="shared" si="45"/>
        <v>Panel Posterior Pleno / H:2000W:400 mm</v>
      </c>
    </row>
    <row r="218" spans="1:17" ht="20" customHeight="1" outlineLevel="1" x14ac:dyDescent="0.65">
      <c r="A218" s="14">
        <v>198</v>
      </c>
      <c r="B218" s="15" t="str">
        <f t="shared" si="41"/>
        <v>2072PaPP</v>
      </c>
      <c r="C218" s="16" t="s">
        <v>304</v>
      </c>
      <c r="D218" s="49" t="s">
        <v>359</v>
      </c>
      <c r="E218" s="49"/>
      <c r="F218" s="49"/>
      <c r="G218" s="19" t="str">
        <f t="shared" si="42"/>
        <v>H:</v>
      </c>
      <c r="H218" s="19">
        <v>2000</v>
      </c>
      <c r="I218" s="20" t="str">
        <f t="shared" si="43"/>
        <v>W:</v>
      </c>
      <c r="J218" s="21">
        <v>720</v>
      </c>
      <c r="K218" s="21" t="str">
        <f t="shared" si="44"/>
        <v/>
      </c>
      <c r="L218" s="21"/>
      <c r="M218" s="22" t="s">
        <v>353</v>
      </c>
      <c r="N218" s="23" t="s">
        <v>45</v>
      </c>
      <c r="O218" s="24"/>
      <c r="P218" s="25"/>
      <c r="Q218" s="26" t="str">
        <f t="shared" si="45"/>
        <v>Panel Posterior Pleno / H:2000W:720 mm</v>
      </c>
    </row>
    <row r="219" spans="1:17" ht="20" customHeight="1" outlineLevel="1" x14ac:dyDescent="0.65">
      <c r="A219" s="14">
        <v>199</v>
      </c>
      <c r="B219" s="15" t="str">
        <f t="shared" si="41"/>
        <v>2080PaPP</v>
      </c>
      <c r="C219" s="16" t="s">
        <v>304</v>
      </c>
      <c r="D219" s="49" t="s">
        <v>360</v>
      </c>
      <c r="E219" s="49"/>
      <c r="F219" s="49"/>
      <c r="G219" s="19" t="str">
        <f t="shared" si="42"/>
        <v>H:</v>
      </c>
      <c r="H219" s="19">
        <v>2000</v>
      </c>
      <c r="I219" s="20" t="str">
        <f t="shared" si="43"/>
        <v>W:</v>
      </c>
      <c r="J219" s="21">
        <v>800</v>
      </c>
      <c r="K219" s="21" t="str">
        <f t="shared" si="44"/>
        <v/>
      </c>
      <c r="L219" s="21"/>
      <c r="M219" s="22" t="s">
        <v>353</v>
      </c>
      <c r="N219" s="23" t="s">
        <v>45</v>
      </c>
      <c r="O219" s="24"/>
      <c r="P219" s="25"/>
      <c r="Q219" s="26" t="str">
        <f t="shared" si="45"/>
        <v>Panel Posterior Pleno / H:2000W:800 mm</v>
      </c>
    </row>
    <row r="220" spans="1:17" ht="20" customHeight="1" outlineLevel="1" x14ac:dyDescent="0.65">
      <c r="A220" s="14">
        <v>200</v>
      </c>
      <c r="B220" s="15" t="str">
        <f t="shared" si="41"/>
        <v>2011PaPP</v>
      </c>
      <c r="C220" s="16" t="s">
        <v>304</v>
      </c>
      <c r="D220" s="49" t="s">
        <v>361</v>
      </c>
      <c r="E220" s="49"/>
      <c r="F220" s="49"/>
      <c r="G220" s="19" t="str">
        <f t="shared" si="42"/>
        <v>H:</v>
      </c>
      <c r="H220" s="19">
        <v>2000</v>
      </c>
      <c r="I220" s="20" t="str">
        <f t="shared" si="43"/>
        <v>W:</v>
      </c>
      <c r="J220" s="21">
        <v>1120</v>
      </c>
      <c r="K220" s="21" t="str">
        <f t="shared" si="44"/>
        <v/>
      </c>
      <c r="L220" s="21"/>
      <c r="M220" s="22" t="s">
        <v>353</v>
      </c>
      <c r="N220" s="23" t="s">
        <v>45</v>
      </c>
      <c r="O220" s="24"/>
      <c r="P220" s="25"/>
      <c r="Q220" s="26" t="str">
        <f t="shared" si="45"/>
        <v>Panel Posterior Pleno / H:2000W:1120 mm</v>
      </c>
    </row>
    <row r="221" spans="1:17" ht="20" customHeight="1" outlineLevel="1" x14ac:dyDescent="0.65">
      <c r="A221" s="14">
        <v>201</v>
      </c>
      <c r="B221" s="15" t="str">
        <f t="shared" si="41"/>
        <v>2220PaPP</v>
      </c>
      <c r="C221" s="16" t="s">
        <v>304</v>
      </c>
      <c r="D221" s="49" t="s">
        <v>362</v>
      </c>
      <c r="E221" s="49"/>
      <c r="F221" s="49"/>
      <c r="G221" s="19" t="str">
        <f t="shared" si="42"/>
        <v>H:</v>
      </c>
      <c r="H221" s="19">
        <v>2200</v>
      </c>
      <c r="I221" s="20" t="str">
        <f t="shared" si="43"/>
        <v>W:</v>
      </c>
      <c r="J221" s="21">
        <v>200</v>
      </c>
      <c r="K221" s="21" t="str">
        <f t="shared" si="44"/>
        <v/>
      </c>
      <c r="L221" s="21"/>
      <c r="M221" s="22" t="s">
        <v>353</v>
      </c>
      <c r="N221" s="23" t="s">
        <v>45</v>
      </c>
      <c r="O221" s="24"/>
      <c r="P221" s="25"/>
      <c r="Q221" s="26" t="str">
        <f t="shared" si="45"/>
        <v>Panel Posterior Pleno / H:2200W:200 mm</v>
      </c>
    </row>
    <row r="222" spans="1:17" ht="20" customHeight="1" outlineLevel="1" x14ac:dyDescent="0.65">
      <c r="A222" s="14">
        <v>202</v>
      </c>
      <c r="B222" s="15" t="str">
        <f t="shared" si="41"/>
        <v>2240PaPP</v>
      </c>
      <c r="C222" s="16" t="s">
        <v>304</v>
      </c>
      <c r="D222" s="49" t="s">
        <v>363</v>
      </c>
      <c r="E222" s="49"/>
      <c r="F222" s="49"/>
      <c r="G222" s="19" t="str">
        <f t="shared" si="42"/>
        <v>H:</v>
      </c>
      <c r="H222" s="19">
        <v>2200</v>
      </c>
      <c r="I222" s="20" t="str">
        <f t="shared" si="43"/>
        <v>W:</v>
      </c>
      <c r="J222" s="21">
        <v>400</v>
      </c>
      <c r="K222" s="21" t="str">
        <f t="shared" si="44"/>
        <v/>
      </c>
      <c r="L222" s="21"/>
      <c r="M222" s="22" t="s">
        <v>353</v>
      </c>
      <c r="N222" s="23" t="s">
        <v>45</v>
      </c>
      <c r="O222" s="24"/>
      <c r="P222" s="25"/>
      <c r="Q222" s="26" t="str">
        <f t="shared" si="45"/>
        <v>Panel Posterior Pleno / H:2200W:400 mm</v>
      </c>
    </row>
    <row r="223" spans="1:17" ht="20" customHeight="1" outlineLevel="1" x14ac:dyDescent="0.65">
      <c r="A223" s="14">
        <v>203</v>
      </c>
      <c r="B223" s="15" t="str">
        <f t="shared" si="41"/>
        <v>2272PaPP</v>
      </c>
      <c r="C223" s="16" t="s">
        <v>304</v>
      </c>
      <c r="D223" s="49" t="s">
        <v>364</v>
      </c>
      <c r="E223" s="49"/>
      <c r="F223" s="49"/>
      <c r="G223" s="19" t="str">
        <f t="shared" si="42"/>
        <v>H:</v>
      </c>
      <c r="H223" s="19">
        <v>2200</v>
      </c>
      <c r="I223" s="20" t="str">
        <f t="shared" si="43"/>
        <v>W:</v>
      </c>
      <c r="J223" s="21">
        <v>720</v>
      </c>
      <c r="K223" s="21" t="str">
        <f t="shared" si="44"/>
        <v/>
      </c>
      <c r="L223" s="21"/>
      <c r="M223" s="22" t="s">
        <v>353</v>
      </c>
      <c r="N223" s="23" t="s">
        <v>45</v>
      </c>
      <c r="O223" s="24"/>
      <c r="P223" s="25"/>
      <c r="Q223" s="26" t="str">
        <f t="shared" si="45"/>
        <v>Panel Posterior Pleno / H:2200W:720 mm</v>
      </c>
    </row>
    <row r="224" spans="1:17" ht="20" customHeight="1" outlineLevel="1" x14ac:dyDescent="0.65">
      <c r="A224" s="14">
        <v>204</v>
      </c>
      <c r="B224" s="15" t="str">
        <f t="shared" si="41"/>
        <v>2280PaPP</v>
      </c>
      <c r="C224" s="16" t="s">
        <v>304</v>
      </c>
      <c r="D224" s="49" t="s">
        <v>365</v>
      </c>
      <c r="E224" s="49"/>
      <c r="F224" s="49"/>
      <c r="G224" s="19" t="str">
        <f t="shared" si="42"/>
        <v>H:</v>
      </c>
      <c r="H224" s="19">
        <v>2200</v>
      </c>
      <c r="I224" s="20" t="str">
        <f t="shared" si="43"/>
        <v>W:</v>
      </c>
      <c r="J224" s="21">
        <v>800</v>
      </c>
      <c r="K224" s="21" t="str">
        <f t="shared" si="44"/>
        <v/>
      </c>
      <c r="L224" s="21"/>
      <c r="M224" s="22" t="s">
        <v>353</v>
      </c>
      <c r="N224" s="23" t="s">
        <v>45</v>
      </c>
      <c r="O224" s="24"/>
      <c r="P224" s="25"/>
      <c r="Q224" s="26" t="str">
        <f t="shared" si="45"/>
        <v>Panel Posterior Pleno / H:2200W:800 mm</v>
      </c>
    </row>
    <row r="225" spans="1:17" ht="20" customHeight="1" outlineLevel="1" x14ac:dyDescent="0.65">
      <c r="A225" s="14">
        <v>205</v>
      </c>
      <c r="B225" s="15" t="str">
        <f t="shared" si="41"/>
        <v>2211PaPP</v>
      </c>
      <c r="C225" s="16" t="s">
        <v>304</v>
      </c>
      <c r="D225" s="49" t="s">
        <v>366</v>
      </c>
      <c r="E225" s="49"/>
      <c r="F225" s="49"/>
      <c r="G225" s="19" t="str">
        <f t="shared" si="42"/>
        <v>H:</v>
      </c>
      <c r="H225" s="19">
        <v>2200</v>
      </c>
      <c r="I225" s="20" t="str">
        <f t="shared" si="43"/>
        <v>W:</v>
      </c>
      <c r="J225" s="21">
        <v>1120</v>
      </c>
      <c r="K225" s="21" t="str">
        <f t="shared" si="44"/>
        <v/>
      </c>
      <c r="L225" s="21"/>
      <c r="M225" s="22" t="s">
        <v>353</v>
      </c>
      <c r="N225" s="23" t="s">
        <v>45</v>
      </c>
      <c r="O225" s="24"/>
      <c r="P225" s="25"/>
      <c r="Q225" s="26" t="str">
        <f t="shared" si="45"/>
        <v>Panel Posterior Pleno / H:2200W:1120 mm</v>
      </c>
    </row>
    <row r="226" spans="1:17" ht="20" customHeight="1" outlineLevel="1" x14ac:dyDescent="0.65">
      <c r="A226" s="14">
        <v>206</v>
      </c>
      <c r="B226" s="15" t="str">
        <f t="shared" si="41"/>
        <v>1872PaPCD_SE</v>
      </c>
      <c r="C226" s="16" t="s">
        <v>304</v>
      </c>
      <c r="D226" s="49" t="s">
        <v>367</v>
      </c>
      <c r="E226" s="49"/>
      <c r="F226" s="49"/>
      <c r="G226" s="19" t="str">
        <f t="shared" si="42"/>
        <v>H:</v>
      </c>
      <c r="H226" s="19">
        <v>1800</v>
      </c>
      <c r="I226" s="20" t="str">
        <f t="shared" si="43"/>
        <v>W:</v>
      </c>
      <c r="J226" s="21">
        <v>720</v>
      </c>
      <c r="K226" s="21" t="str">
        <f t="shared" si="44"/>
        <v/>
      </c>
      <c r="L226" s="21"/>
      <c r="M226" s="22" t="s">
        <v>353</v>
      </c>
      <c r="N226" s="23" t="s">
        <v>198</v>
      </c>
      <c r="O226" s="24" t="s">
        <v>271</v>
      </c>
      <c r="P226" s="53" t="s">
        <v>272</v>
      </c>
      <c r="Q226" s="26" t="str">
        <f t="shared" si="45"/>
        <v>Panel Posterior Corte Doble_SE-223*223 / H:1800W:720 mm</v>
      </c>
    </row>
    <row r="227" spans="1:17" ht="20" customHeight="1" outlineLevel="1" x14ac:dyDescent="0.65">
      <c r="A227" s="14">
        <v>207</v>
      </c>
      <c r="B227" s="15" t="str">
        <f t="shared" si="41"/>
        <v>1811PaPCD_SE</v>
      </c>
      <c r="C227" s="16" t="s">
        <v>304</v>
      </c>
      <c r="D227" s="49" t="s">
        <v>368</v>
      </c>
      <c r="E227" s="49"/>
      <c r="F227" s="49"/>
      <c r="G227" s="19" t="str">
        <f t="shared" si="42"/>
        <v>H:</v>
      </c>
      <c r="H227" s="19">
        <v>1800</v>
      </c>
      <c r="I227" s="20" t="str">
        <f t="shared" si="43"/>
        <v>W:</v>
      </c>
      <c r="J227" s="21">
        <v>1120</v>
      </c>
      <c r="K227" s="21" t="str">
        <f t="shared" si="44"/>
        <v/>
      </c>
      <c r="L227" s="21"/>
      <c r="M227" s="22" t="s">
        <v>353</v>
      </c>
      <c r="N227" s="23" t="s">
        <v>198</v>
      </c>
      <c r="O227" s="24" t="s">
        <v>271</v>
      </c>
      <c r="P227" s="53" t="s">
        <v>272</v>
      </c>
      <c r="Q227" s="26" t="str">
        <f t="shared" si="45"/>
        <v>Panel Posterior Corte Doble_SE-223*223 / H:1800W:1120 mm</v>
      </c>
    </row>
    <row r="228" spans="1:17" ht="20" customHeight="1" outlineLevel="1" x14ac:dyDescent="0.65">
      <c r="A228" s="14">
        <v>208</v>
      </c>
      <c r="B228" s="15" t="str">
        <f t="shared" si="41"/>
        <v>2072PaPCD_SE</v>
      </c>
      <c r="C228" s="16" t="s">
        <v>304</v>
      </c>
      <c r="D228" s="49" t="s">
        <v>369</v>
      </c>
      <c r="E228" s="49"/>
      <c r="F228" s="49"/>
      <c r="G228" s="19" t="str">
        <f t="shared" si="42"/>
        <v>H:</v>
      </c>
      <c r="H228" s="19">
        <v>2000</v>
      </c>
      <c r="I228" s="20" t="str">
        <f t="shared" si="43"/>
        <v>W:</v>
      </c>
      <c r="J228" s="21">
        <v>720</v>
      </c>
      <c r="K228" s="21" t="str">
        <f t="shared" si="44"/>
        <v/>
      </c>
      <c r="L228" s="21"/>
      <c r="M228" s="22" t="s">
        <v>353</v>
      </c>
      <c r="N228" s="23" t="s">
        <v>198</v>
      </c>
      <c r="O228" s="24" t="s">
        <v>271</v>
      </c>
      <c r="P228" s="53" t="s">
        <v>272</v>
      </c>
      <c r="Q228" s="26" t="str">
        <f t="shared" si="45"/>
        <v>Panel Posterior Corte Doble_SE-223*223 / H:2000W:720 mm</v>
      </c>
    </row>
    <row r="229" spans="1:17" ht="20" customHeight="1" outlineLevel="1" x14ac:dyDescent="0.65">
      <c r="A229" s="14">
        <v>209</v>
      </c>
      <c r="B229" s="15" t="str">
        <f t="shared" si="41"/>
        <v>2080PaPCD_SE</v>
      </c>
      <c r="C229" s="16" t="s">
        <v>304</v>
      </c>
      <c r="D229" s="49" t="s">
        <v>370</v>
      </c>
      <c r="E229" s="49"/>
      <c r="F229" s="49"/>
      <c r="G229" s="19" t="str">
        <f t="shared" si="42"/>
        <v>H:</v>
      </c>
      <c r="H229" s="19">
        <v>2000</v>
      </c>
      <c r="I229" s="20" t="str">
        <f t="shared" si="43"/>
        <v>W:</v>
      </c>
      <c r="J229" s="21">
        <v>800</v>
      </c>
      <c r="K229" s="21" t="str">
        <f t="shared" si="44"/>
        <v/>
      </c>
      <c r="L229" s="21"/>
      <c r="M229" s="22" t="s">
        <v>353</v>
      </c>
      <c r="N229" s="23" t="s">
        <v>198</v>
      </c>
      <c r="O229" s="24" t="s">
        <v>271</v>
      </c>
      <c r="P229" s="53" t="s">
        <v>272</v>
      </c>
      <c r="Q229" s="26" t="str">
        <f t="shared" si="45"/>
        <v>Panel Posterior Corte Doble_SE-223*223 / H:2000W:800 mm</v>
      </c>
    </row>
    <row r="230" spans="1:17" ht="20" customHeight="1" outlineLevel="1" x14ac:dyDescent="0.65">
      <c r="A230" s="14">
        <v>210</v>
      </c>
      <c r="B230" s="15" t="str">
        <f t="shared" si="41"/>
        <v>2011PaPCD_SE</v>
      </c>
      <c r="C230" s="16" t="s">
        <v>304</v>
      </c>
      <c r="D230" s="49" t="s">
        <v>371</v>
      </c>
      <c r="E230" s="49"/>
      <c r="F230" s="49"/>
      <c r="G230" s="19" t="str">
        <f t="shared" si="42"/>
        <v>H:</v>
      </c>
      <c r="H230" s="19">
        <v>2000</v>
      </c>
      <c r="I230" s="20" t="str">
        <f t="shared" si="43"/>
        <v>W:</v>
      </c>
      <c r="J230" s="21">
        <v>1120</v>
      </c>
      <c r="K230" s="21" t="str">
        <f t="shared" si="44"/>
        <v/>
      </c>
      <c r="L230" s="21"/>
      <c r="M230" s="22" t="s">
        <v>353</v>
      </c>
      <c r="N230" s="23" t="s">
        <v>198</v>
      </c>
      <c r="O230" s="24" t="s">
        <v>271</v>
      </c>
      <c r="P230" s="53" t="s">
        <v>272</v>
      </c>
      <c r="Q230" s="26" t="str">
        <f t="shared" si="45"/>
        <v>Panel Posterior Corte Doble_SE-223*223 / H:2000W:1120 mm</v>
      </c>
    </row>
    <row r="231" spans="1:17" ht="20" customHeight="1" outlineLevel="1" x14ac:dyDescent="0.65">
      <c r="A231" s="14">
        <v>211</v>
      </c>
      <c r="B231" s="15" t="str">
        <f t="shared" si="41"/>
        <v>2272PaPCD_SE</v>
      </c>
      <c r="C231" s="16" t="s">
        <v>304</v>
      </c>
      <c r="D231" s="49" t="s">
        <v>372</v>
      </c>
      <c r="E231" s="49"/>
      <c r="F231" s="49"/>
      <c r="G231" s="19" t="str">
        <f t="shared" si="42"/>
        <v>H:</v>
      </c>
      <c r="H231" s="19">
        <v>2200</v>
      </c>
      <c r="I231" s="20" t="str">
        <f t="shared" si="43"/>
        <v>W:</v>
      </c>
      <c r="J231" s="21">
        <v>720</v>
      </c>
      <c r="K231" s="21" t="str">
        <f t="shared" si="44"/>
        <v/>
      </c>
      <c r="L231" s="21"/>
      <c r="M231" s="22" t="s">
        <v>353</v>
      </c>
      <c r="N231" s="23" t="s">
        <v>198</v>
      </c>
      <c r="O231" s="24" t="s">
        <v>271</v>
      </c>
      <c r="P231" s="53" t="s">
        <v>272</v>
      </c>
      <c r="Q231" s="26" t="str">
        <f t="shared" si="45"/>
        <v>Panel Posterior Corte Doble_SE-223*223 / H:2200W:720 mm</v>
      </c>
    </row>
    <row r="232" spans="1:17" ht="20" customHeight="1" outlineLevel="1" x14ac:dyDescent="0.65">
      <c r="A232" s="14">
        <v>212</v>
      </c>
      <c r="B232" s="15" t="str">
        <f t="shared" si="41"/>
        <v>2280PaPCD_SE</v>
      </c>
      <c r="C232" s="16" t="s">
        <v>304</v>
      </c>
      <c r="D232" s="49" t="s">
        <v>373</v>
      </c>
      <c r="E232" s="49"/>
      <c r="F232" s="49"/>
      <c r="G232" s="19" t="str">
        <f t="shared" si="42"/>
        <v>H:</v>
      </c>
      <c r="H232" s="19">
        <v>2200</v>
      </c>
      <c r="I232" s="20" t="str">
        <f t="shared" si="43"/>
        <v>W:</v>
      </c>
      <c r="J232" s="21">
        <v>800</v>
      </c>
      <c r="K232" s="21" t="str">
        <f t="shared" si="44"/>
        <v/>
      </c>
      <c r="L232" s="21"/>
      <c r="M232" s="22" t="s">
        <v>353</v>
      </c>
      <c r="N232" s="23" t="s">
        <v>198</v>
      </c>
      <c r="O232" s="24" t="s">
        <v>271</v>
      </c>
      <c r="P232" s="53" t="s">
        <v>272</v>
      </c>
      <c r="Q232" s="26" t="str">
        <f t="shared" si="45"/>
        <v>Panel Posterior Corte Doble_SE-223*223 / H:2200W:800 mm</v>
      </c>
    </row>
    <row r="233" spans="1:17" ht="20" customHeight="1" outlineLevel="1" x14ac:dyDescent="0.65">
      <c r="A233" s="14">
        <v>213</v>
      </c>
      <c r="B233" s="15" t="str">
        <f t="shared" si="41"/>
        <v>2211PaPCD_SE</v>
      </c>
      <c r="C233" s="16" t="s">
        <v>304</v>
      </c>
      <c r="D233" s="49" t="s">
        <v>374</v>
      </c>
      <c r="E233" s="49"/>
      <c r="F233" s="49"/>
      <c r="G233" s="19" t="str">
        <f t="shared" si="42"/>
        <v>H:</v>
      </c>
      <c r="H233" s="19">
        <v>2200</v>
      </c>
      <c r="I233" s="20" t="str">
        <f t="shared" si="43"/>
        <v>W:</v>
      </c>
      <c r="J233" s="21">
        <v>1120</v>
      </c>
      <c r="K233" s="21" t="str">
        <f t="shared" si="44"/>
        <v/>
      </c>
      <c r="L233" s="21"/>
      <c r="M233" s="22" t="s">
        <v>353</v>
      </c>
      <c r="N233" s="23" t="s">
        <v>198</v>
      </c>
      <c r="O233" s="24" t="s">
        <v>271</v>
      </c>
      <c r="P233" s="53" t="s">
        <v>272</v>
      </c>
      <c r="Q233" s="26" t="str">
        <f t="shared" si="45"/>
        <v>Panel Posterior Corte Doble_SE-223*223 / H:2200W:1120 mm</v>
      </c>
    </row>
    <row r="234" spans="1:17" ht="20" customHeight="1" outlineLevel="1" x14ac:dyDescent="0.65">
      <c r="A234" s="14">
        <v>214</v>
      </c>
      <c r="B234" s="15" t="str">
        <f t="shared" si="41"/>
        <v>1872PaPCD_NG</v>
      </c>
      <c r="C234" s="16" t="s">
        <v>304</v>
      </c>
      <c r="D234" s="49" t="s">
        <v>375</v>
      </c>
      <c r="E234" s="49"/>
      <c r="F234" s="49"/>
      <c r="G234" s="19" t="str">
        <f t="shared" si="42"/>
        <v>H:</v>
      </c>
      <c r="H234" s="19">
        <v>1800</v>
      </c>
      <c r="I234" s="20" t="str">
        <f t="shared" si="43"/>
        <v>W:</v>
      </c>
      <c r="J234" s="21">
        <v>720</v>
      </c>
      <c r="K234" s="21" t="str">
        <f t="shared" si="44"/>
        <v/>
      </c>
      <c r="L234" s="21"/>
      <c r="M234" s="22" t="s">
        <v>353</v>
      </c>
      <c r="N234" s="23" t="s">
        <v>198</v>
      </c>
      <c r="O234" s="24" t="s">
        <v>271</v>
      </c>
      <c r="P234" s="53" t="s">
        <v>208</v>
      </c>
      <c r="Q234" s="26" t="str">
        <f t="shared" si="45"/>
        <v>Panel Posterior Corte Doble_NG-229*229 / H:1800W:720 mm</v>
      </c>
    </row>
    <row r="235" spans="1:17" ht="20" customHeight="1" outlineLevel="1" x14ac:dyDescent="0.65">
      <c r="A235" s="14">
        <v>215</v>
      </c>
      <c r="B235" s="15" t="str">
        <f t="shared" si="41"/>
        <v>1811PaPCD_NG</v>
      </c>
      <c r="C235" s="16" t="s">
        <v>304</v>
      </c>
      <c r="D235" s="49" t="s">
        <v>376</v>
      </c>
      <c r="E235" s="49"/>
      <c r="F235" s="49"/>
      <c r="G235" s="19" t="str">
        <f t="shared" si="42"/>
        <v>H:</v>
      </c>
      <c r="H235" s="19">
        <v>1800</v>
      </c>
      <c r="I235" s="20" t="str">
        <f t="shared" si="43"/>
        <v>W:</v>
      </c>
      <c r="J235" s="21">
        <v>1120</v>
      </c>
      <c r="K235" s="21" t="str">
        <f t="shared" si="44"/>
        <v/>
      </c>
      <c r="L235" s="21"/>
      <c r="M235" s="22" t="s">
        <v>353</v>
      </c>
      <c r="N235" s="23" t="s">
        <v>198</v>
      </c>
      <c r="O235" s="24" t="s">
        <v>271</v>
      </c>
      <c r="P235" s="53" t="s">
        <v>208</v>
      </c>
      <c r="Q235" s="26" t="str">
        <f t="shared" si="45"/>
        <v>Panel Posterior Corte Doble_NG-229*229 / H:1800W:1120 mm</v>
      </c>
    </row>
    <row r="236" spans="1:17" ht="20" customHeight="1" outlineLevel="1" x14ac:dyDescent="0.65">
      <c r="A236" s="14">
        <v>216</v>
      </c>
      <c r="B236" s="15" t="str">
        <f t="shared" si="41"/>
        <v>2072PaPCD_NG</v>
      </c>
      <c r="C236" s="16" t="s">
        <v>304</v>
      </c>
      <c r="D236" s="49" t="s">
        <v>377</v>
      </c>
      <c r="E236" s="49"/>
      <c r="F236" s="49"/>
      <c r="G236" s="19" t="str">
        <f t="shared" si="42"/>
        <v>H:</v>
      </c>
      <c r="H236" s="19">
        <v>2000</v>
      </c>
      <c r="I236" s="20" t="str">
        <f t="shared" si="43"/>
        <v>W:</v>
      </c>
      <c r="J236" s="21">
        <v>720</v>
      </c>
      <c r="K236" s="21" t="str">
        <f t="shared" si="44"/>
        <v/>
      </c>
      <c r="L236" s="21"/>
      <c r="M236" s="22" t="s">
        <v>353</v>
      </c>
      <c r="N236" s="23" t="s">
        <v>198</v>
      </c>
      <c r="O236" s="24" t="s">
        <v>271</v>
      </c>
      <c r="P236" s="53" t="s">
        <v>208</v>
      </c>
      <c r="Q236" s="26" t="str">
        <f t="shared" si="45"/>
        <v>Panel Posterior Corte Doble_NG-229*229 / H:2000W:720 mm</v>
      </c>
    </row>
    <row r="237" spans="1:17" ht="20" customHeight="1" outlineLevel="1" x14ac:dyDescent="0.65">
      <c r="A237" s="14">
        <v>217</v>
      </c>
      <c r="B237" s="15" t="str">
        <f t="shared" si="41"/>
        <v>2080PaPCD_NG</v>
      </c>
      <c r="C237" s="16" t="s">
        <v>304</v>
      </c>
      <c r="D237" s="49" t="s">
        <v>378</v>
      </c>
      <c r="E237" s="49"/>
      <c r="F237" s="49"/>
      <c r="G237" s="19" t="str">
        <f t="shared" si="42"/>
        <v>H:</v>
      </c>
      <c r="H237" s="19">
        <v>2000</v>
      </c>
      <c r="I237" s="20" t="str">
        <f t="shared" si="43"/>
        <v>W:</v>
      </c>
      <c r="J237" s="21">
        <v>800</v>
      </c>
      <c r="K237" s="21" t="str">
        <f t="shared" si="44"/>
        <v/>
      </c>
      <c r="L237" s="21"/>
      <c r="M237" s="22" t="s">
        <v>353</v>
      </c>
      <c r="N237" s="23" t="s">
        <v>198</v>
      </c>
      <c r="O237" s="24" t="s">
        <v>271</v>
      </c>
      <c r="P237" s="53" t="s">
        <v>208</v>
      </c>
      <c r="Q237" s="26" t="str">
        <f t="shared" si="45"/>
        <v>Panel Posterior Corte Doble_NG-229*229 / H:2000W:800 mm</v>
      </c>
    </row>
    <row r="238" spans="1:17" ht="20" customHeight="1" outlineLevel="1" x14ac:dyDescent="0.65">
      <c r="A238" s="14">
        <v>218</v>
      </c>
      <c r="B238" s="15" t="str">
        <f t="shared" si="41"/>
        <v>2011PaPCD_NG</v>
      </c>
      <c r="C238" s="16" t="s">
        <v>304</v>
      </c>
      <c r="D238" s="49" t="s">
        <v>379</v>
      </c>
      <c r="E238" s="49"/>
      <c r="F238" s="49"/>
      <c r="G238" s="19" t="str">
        <f t="shared" si="42"/>
        <v>H:</v>
      </c>
      <c r="H238" s="19">
        <v>2000</v>
      </c>
      <c r="I238" s="20" t="str">
        <f t="shared" si="43"/>
        <v>W:</v>
      </c>
      <c r="J238" s="21">
        <v>1120</v>
      </c>
      <c r="K238" s="21" t="str">
        <f t="shared" si="44"/>
        <v/>
      </c>
      <c r="L238" s="21"/>
      <c r="M238" s="22" t="s">
        <v>353</v>
      </c>
      <c r="N238" s="23" t="s">
        <v>198</v>
      </c>
      <c r="O238" s="24" t="s">
        <v>271</v>
      </c>
      <c r="P238" s="53" t="s">
        <v>208</v>
      </c>
      <c r="Q238" s="26" t="str">
        <f t="shared" si="45"/>
        <v>Panel Posterior Corte Doble_NG-229*229 / H:2000W:1120 mm</v>
      </c>
    </row>
    <row r="239" spans="1:17" ht="20" customHeight="1" outlineLevel="1" x14ac:dyDescent="0.65">
      <c r="A239" s="14">
        <v>219</v>
      </c>
      <c r="B239" s="15" t="str">
        <f t="shared" si="41"/>
        <v>2272PaPCD_NG</v>
      </c>
      <c r="C239" s="16" t="s">
        <v>304</v>
      </c>
      <c r="D239" s="49" t="s">
        <v>380</v>
      </c>
      <c r="E239" s="49"/>
      <c r="F239" s="49"/>
      <c r="G239" s="19" t="str">
        <f t="shared" si="42"/>
        <v>H:</v>
      </c>
      <c r="H239" s="19">
        <v>2200</v>
      </c>
      <c r="I239" s="20" t="str">
        <f t="shared" si="43"/>
        <v>W:</v>
      </c>
      <c r="J239" s="21">
        <v>720</v>
      </c>
      <c r="K239" s="21" t="str">
        <f t="shared" si="44"/>
        <v/>
      </c>
      <c r="L239" s="21"/>
      <c r="M239" s="22" t="s">
        <v>353</v>
      </c>
      <c r="N239" s="23" t="s">
        <v>198</v>
      </c>
      <c r="O239" s="24" t="s">
        <v>271</v>
      </c>
      <c r="P239" s="53" t="s">
        <v>208</v>
      </c>
      <c r="Q239" s="26" t="str">
        <f t="shared" si="45"/>
        <v>Panel Posterior Corte Doble_NG-229*229 / H:2200W:720 mm</v>
      </c>
    </row>
    <row r="240" spans="1:17" ht="20" customHeight="1" outlineLevel="1" x14ac:dyDescent="0.65">
      <c r="A240" s="14">
        <v>220</v>
      </c>
      <c r="B240" s="15" t="str">
        <f t="shared" si="41"/>
        <v>2280PaPCD_NG</v>
      </c>
      <c r="C240" s="16" t="s">
        <v>304</v>
      </c>
      <c r="D240" s="49" t="s">
        <v>381</v>
      </c>
      <c r="E240" s="49"/>
      <c r="F240" s="49"/>
      <c r="G240" s="19" t="str">
        <f t="shared" si="42"/>
        <v>H:</v>
      </c>
      <c r="H240" s="19">
        <v>2200</v>
      </c>
      <c r="I240" s="20" t="str">
        <f t="shared" si="43"/>
        <v>W:</v>
      </c>
      <c r="J240" s="21">
        <v>800</v>
      </c>
      <c r="K240" s="21" t="str">
        <f t="shared" si="44"/>
        <v/>
      </c>
      <c r="L240" s="21"/>
      <c r="M240" s="22" t="s">
        <v>353</v>
      </c>
      <c r="N240" s="23" t="s">
        <v>198</v>
      </c>
      <c r="O240" s="24" t="s">
        <v>271</v>
      </c>
      <c r="P240" s="53" t="s">
        <v>208</v>
      </c>
      <c r="Q240" s="26" t="str">
        <f t="shared" si="45"/>
        <v>Panel Posterior Corte Doble_NG-229*229 / H:2200W:800 mm</v>
      </c>
    </row>
    <row r="241" spans="1:17" ht="20" customHeight="1" outlineLevel="1" x14ac:dyDescent="0.65">
      <c r="A241" s="14">
        <v>221</v>
      </c>
      <c r="B241" s="15" t="str">
        <f t="shared" si="41"/>
        <v>2211PaPCD_NG</v>
      </c>
      <c r="C241" s="16" t="s">
        <v>304</v>
      </c>
      <c r="D241" s="49" t="s">
        <v>382</v>
      </c>
      <c r="E241" s="49"/>
      <c r="F241" s="49"/>
      <c r="G241" s="19" t="str">
        <f t="shared" si="42"/>
        <v>H:</v>
      </c>
      <c r="H241" s="19">
        <v>2200</v>
      </c>
      <c r="I241" s="20" t="str">
        <f t="shared" si="43"/>
        <v>W:</v>
      </c>
      <c r="J241" s="21">
        <v>1120</v>
      </c>
      <c r="K241" s="21" t="str">
        <f t="shared" si="44"/>
        <v/>
      </c>
      <c r="L241" s="21"/>
      <c r="M241" s="22" t="s">
        <v>353</v>
      </c>
      <c r="N241" s="23" t="s">
        <v>198</v>
      </c>
      <c r="O241" s="24" t="s">
        <v>271</v>
      </c>
      <c r="P241" s="53" t="s">
        <v>208</v>
      </c>
      <c r="Q241" s="26" t="str">
        <f t="shared" si="45"/>
        <v>Panel Posterior Corte Doble_NG-229*229 / H:2200W:1120 mm</v>
      </c>
    </row>
    <row r="242" spans="1:17" ht="20" customHeight="1" outlineLevel="1" x14ac:dyDescent="0.65">
      <c r="A242" s="14">
        <v>222</v>
      </c>
      <c r="B242" s="15" t="str">
        <f t="shared" si="41"/>
        <v>1840PaPCD_NM</v>
      </c>
      <c r="C242" s="16" t="s">
        <v>304</v>
      </c>
      <c r="D242" s="49" t="s">
        <v>383</v>
      </c>
      <c r="E242" s="49"/>
      <c r="F242" s="49"/>
      <c r="G242" s="19" t="str">
        <f t="shared" si="42"/>
        <v>H:</v>
      </c>
      <c r="H242" s="19">
        <v>1800</v>
      </c>
      <c r="I242" s="20" t="str">
        <f t="shared" si="43"/>
        <v>W:</v>
      </c>
      <c r="J242" s="21">
        <v>400</v>
      </c>
      <c r="K242" s="21" t="str">
        <f t="shared" si="44"/>
        <v/>
      </c>
      <c r="L242" s="21"/>
      <c r="M242" s="22" t="s">
        <v>353</v>
      </c>
      <c r="N242" s="23" t="s">
        <v>198</v>
      </c>
      <c r="O242" s="24" t="s">
        <v>271</v>
      </c>
      <c r="P242" s="53" t="s">
        <v>217</v>
      </c>
      <c r="Q242" s="26" t="str">
        <f t="shared" si="45"/>
        <v>Panel Posterior Corte Doble_NM-180*180 / H:1800W:400 mm</v>
      </c>
    </row>
    <row r="243" spans="1:17" ht="20" customHeight="1" outlineLevel="1" x14ac:dyDescent="0.65">
      <c r="A243" s="14">
        <v>223</v>
      </c>
      <c r="B243" s="15" t="str">
        <f t="shared" si="41"/>
        <v>1872PaPCD_NM</v>
      </c>
      <c r="C243" s="16" t="s">
        <v>304</v>
      </c>
      <c r="D243" s="49" t="s">
        <v>384</v>
      </c>
      <c r="E243" s="49"/>
      <c r="F243" s="49"/>
      <c r="G243" s="19" t="str">
        <f t="shared" si="42"/>
        <v>H:</v>
      </c>
      <c r="H243" s="19">
        <v>1800</v>
      </c>
      <c r="I243" s="20" t="str">
        <f t="shared" si="43"/>
        <v>W:</v>
      </c>
      <c r="J243" s="21">
        <v>720</v>
      </c>
      <c r="K243" s="21" t="str">
        <f t="shared" si="44"/>
        <v/>
      </c>
      <c r="L243" s="21"/>
      <c r="M243" s="22" t="s">
        <v>353</v>
      </c>
      <c r="N243" s="23" t="s">
        <v>198</v>
      </c>
      <c r="O243" s="24" t="s">
        <v>271</v>
      </c>
      <c r="P243" s="53" t="s">
        <v>217</v>
      </c>
      <c r="Q243" s="26" t="str">
        <f t="shared" si="45"/>
        <v>Panel Posterior Corte Doble_NM-180*180 / H:1800W:720 mm</v>
      </c>
    </row>
    <row r="244" spans="1:17" ht="20" customHeight="1" outlineLevel="1" x14ac:dyDescent="0.65">
      <c r="A244" s="14">
        <v>224</v>
      </c>
      <c r="B244" s="15" t="str">
        <f t="shared" si="41"/>
        <v>1811PaPCD_NM</v>
      </c>
      <c r="C244" s="16" t="s">
        <v>304</v>
      </c>
      <c r="D244" s="49" t="s">
        <v>385</v>
      </c>
      <c r="E244" s="49"/>
      <c r="F244" s="49"/>
      <c r="G244" s="19" t="str">
        <f t="shared" si="42"/>
        <v>H:</v>
      </c>
      <c r="H244" s="19">
        <v>1800</v>
      </c>
      <c r="I244" s="20" t="str">
        <f t="shared" si="43"/>
        <v>W:</v>
      </c>
      <c r="J244" s="21">
        <v>1120</v>
      </c>
      <c r="K244" s="21" t="str">
        <f t="shared" si="44"/>
        <v/>
      </c>
      <c r="L244" s="21"/>
      <c r="M244" s="22" t="s">
        <v>353</v>
      </c>
      <c r="N244" s="23" t="s">
        <v>198</v>
      </c>
      <c r="O244" s="24" t="s">
        <v>271</v>
      </c>
      <c r="P244" s="53" t="s">
        <v>217</v>
      </c>
      <c r="Q244" s="26" t="str">
        <f t="shared" si="45"/>
        <v>Panel Posterior Corte Doble_NM-180*180 / H:1800W:1120 mm</v>
      </c>
    </row>
    <row r="245" spans="1:17" ht="20" customHeight="1" outlineLevel="1" x14ac:dyDescent="0.65">
      <c r="A245" s="14">
        <v>225</v>
      </c>
      <c r="B245" s="15" t="str">
        <f t="shared" si="41"/>
        <v>2040PaPCD_NM</v>
      </c>
      <c r="C245" s="16" t="s">
        <v>304</v>
      </c>
      <c r="D245" s="49" t="s">
        <v>386</v>
      </c>
      <c r="E245" s="49"/>
      <c r="F245" s="49"/>
      <c r="G245" s="19" t="str">
        <f t="shared" si="42"/>
        <v>H:</v>
      </c>
      <c r="H245" s="19">
        <v>2000</v>
      </c>
      <c r="I245" s="20" t="str">
        <f t="shared" si="43"/>
        <v>W:</v>
      </c>
      <c r="J245" s="21">
        <v>400</v>
      </c>
      <c r="K245" s="21" t="str">
        <f t="shared" si="44"/>
        <v/>
      </c>
      <c r="L245" s="21"/>
      <c r="M245" s="22" t="s">
        <v>353</v>
      </c>
      <c r="N245" s="23" t="s">
        <v>198</v>
      </c>
      <c r="O245" s="24" t="s">
        <v>271</v>
      </c>
      <c r="P245" s="53" t="s">
        <v>217</v>
      </c>
      <c r="Q245" s="26" t="str">
        <f t="shared" si="45"/>
        <v>Panel Posterior Corte Doble_NM-180*180 / H:2000W:400 mm</v>
      </c>
    </row>
    <row r="246" spans="1:17" ht="20" customHeight="1" outlineLevel="1" x14ac:dyDescent="0.65">
      <c r="A246" s="14">
        <v>226</v>
      </c>
      <c r="B246" s="15" t="str">
        <f t="shared" si="41"/>
        <v>2072PaPCD_NM</v>
      </c>
      <c r="C246" s="16" t="s">
        <v>304</v>
      </c>
      <c r="D246" s="49" t="s">
        <v>387</v>
      </c>
      <c r="E246" s="49"/>
      <c r="F246" s="49"/>
      <c r="G246" s="19" t="str">
        <f t="shared" si="42"/>
        <v>H:</v>
      </c>
      <c r="H246" s="19">
        <v>2000</v>
      </c>
      <c r="I246" s="20" t="str">
        <f t="shared" si="43"/>
        <v>W:</v>
      </c>
      <c r="J246" s="21">
        <v>720</v>
      </c>
      <c r="K246" s="21" t="str">
        <f t="shared" si="44"/>
        <v/>
      </c>
      <c r="L246" s="21"/>
      <c r="M246" s="22" t="s">
        <v>353</v>
      </c>
      <c r="N246" s="23" t="s">
        <v>198</v>
      </c>
      <c r="O246" s="24" t="s">
        <v>271</v>
      </c>
      <c r="P246" s="53" t="s">
        <v>217</v>
      </c>
      <c r="Q246" s="26" t="str">
        <f t="shared" si="45"/>
        <v>Panel Posterior Corte Doble_NM-180*180 / H:2000W:720 mm</v>
      </c>
    </row>
    <row r="247" spans="1:17" ht="20" customHeight="1" outlineLevel="1" x14ac:dyDescent="0.65">
      <c r="A247" s="14">
        <v>227</v>
      </c>
      <c r="B247" s="15" t="str">
        <f t="shared" si="41"/>
        <v>2080PaPCD_NM</v>
      </c>
      <c r="C247" s="16" t="s">
        <v>304</v>
      </c>
      <c r="D247" s="49" t="s">
        <v>388</v>
      </c>
      <c r="E247" s="49"/>
      <c r="F247" s="49"/>
      <c r="G247" s="19" t="str">
        <f t="shared" si="42"/>
        <v>H:</v>
      </c>
      <c r="H247" s="19">
        <v>2000</v>
      </c>
      <c r="I247" s="20" t="str">
        <f t="shared" si="43"/>
        <v>W:</v>
      </c>
      <c r="J247" s="21">
        <v>800</v>
      </c>
      <c r="K247" s="21" t="str">
        <f t="shared" si="44"/>
        <v/>
      </c>
      <c r="L247" s="21"/>
      <c r="M247" s="22" t="s">
        <v>353</v>
      </c>
      <c r="N247" s="23" t="s">
        <v>198</v>
      </c>
      <c r="O247" s="24" t="s">
        <v>271</v>
      </c>
      <c r="P247" s="53" t="s">
        <v>217</v>
      </c>
      <c r="Q247" s="26" t="str">
        <f t="shared" si="45"/>
        <v>Panel Posterior Corte Doble_NM-180*180 / H:2000W:800 mm</v>
      </c>
    </row>
    <row r="248" spans="1:17" ht="20" customHeight="1" outlineLevel="1" x14ac:dyDescent="0.65">
      <c r="A248" s="14">
        <v>228</v>
      </c>
      <c r="B248" s="15" t="str">
        <f t="shared" si="41"/>
        <v>2011PaPCD_NM</v>
      </c>
      <c r="C248" s="16" t="s">
        <v>304</v>
      </c>
      <c r="D248" s="49" t="s">
        <v>389</v>
      </c>
      <c r="E248" s="49"/>
      <c r="F248" s="49"/>
      <c r="G248" s="19" t="str">
        <f t="shared" si="42"/>
        <v>H:</v>
      </c>
      <c r="H248" s="19">
        <v>2000</v>
      </c>
      <c r="I248" s="20" t="str">
        <f t="shared" si="43"/>
        <v>W:</v>
      </c>
      <c r="J248" s="21">
        <v>1120</v>
      </c>
      <c r="K248" s="21" t="str">
        <f t="shared" si="44"/>
        <v/>
      </c>
      <c r="L248" s="21"/>
      <c r="M248" s="22" t="s">
        <v>353</v>
      </c>
      <c r="N248" s="23" t="s">
        <v>198</v>
      </c>
      <c r="O248" s="24" t="s">
        <v>271</v>
      </c>
      <c r="P248" s="53" t="s">
        <v>217</v>
      </c>
      <c r="Q248" s="26" t="str">
        <f t="shared" si="45"/>
        <v>Panel Posterior Corte Doble_NM-180*180 / H:2000W:1120 mm</v>
      </c>
    </row>
    <row r="249" spans="1:17" ht="20" customHeight="1" outlineLevel="1" x14ac:dyDescent="0.65">
      <c r="A249" s="14">
        <v>229</v>
      </c>
      <c r="B249" s="15" t="str">
        <f t="shared" si="41"/>
        <v>2240PaPCD_NM</v>
      </c>
      <c r="C249" s="16" t="s">
        <v>304</v>
      </c>
      <c r="D249" s="49" t="s">
        <v>390</v>
      </c>
      <c r="E249" s="49"/>
      <c r="F249" s="49"/>
      <c r="G249" s="19" t="str">
        <f t="shared" si="42"/>
        <v>H:</v>
      </c>
      <c r="H249" s="19">
        <v>2200</v>
      </c>
      <c r="I249" s="20" t="str">
        <f t="shared" si="43"/>
        <v>W:</v>
      </c>
      <c r="J249" s="21">
        <v>400</v>
      </c>
      <c r="K249" s="21" t="str">
        <f t="shared" si="44"/>
        <v/>
      </c>
      <c r="L249" s="21"/>
      <c r="M249" s="22" t="s">
        <v>353</v>
      </c>
      <c r="N249" s="23" t="s">
        <v>198</v>
      </c>
      <c r="O249" s="24" t="s">
        <v>271</v>
      </c>
      <c r="P249" s="53" t="s">
        <v>217</v>
      </c>
      <c r="Q249" s="26" t="str">
        <f t="shared" si="45"/>
        <v>Panel Posterior Corte Doble_NM-180*180 / H:2200W:400 mm</v>
      </c>
    </row>
    <row r="250" spans="1:17" ht="20" customHeight="1" outlineLevel="1" x14ac:dyDescent="0.65">
      <c r="A250" s="14">
        <v>230</v>
      </c>
      <c r="B250" s="15" t="str">
        <f t="shared" si="41"/>
        <v>2272PaPCD_NM</v>
      </c>
      <c r="C250" s="16" t="s">
        <v>304</v>
      </c>
      <c r="D250" s="49" t="s">
        <v>391</v>
      </c>
      <c r="E250" s="49"/>
      <c r="F250" s="49"/>
      <c r="G250" s="19" t="str">
        <f t="shared" si="42"/>
        <v>H:</v>
      </c>
      <c r="H250" s="19">
        <v>2200</v>
      </c>
      <c r="I250" s="20" t="str">
        <f t="shared" si="43"/>
        <v>W:</v>
      </c>
      <c r="J250" s="21">
        <v>720</v>
      </c>
      <c r="K250" s="21" t="str">
        <f t="shared" si="44"/>
        <v/>
      </c>
      <c r="L250" s="21"/>
      <c r="M250" s="22" t="s">
        <v>353</v>
      </c>
      <c r="N250" s="23" t="s">
        <v>198</v>
      </c>
      <c r="O250" s="24" t="s">
        <v>271</v>
      </c>
      <c r="P250" s="53" t="s">
        <v>217</v>
      </c>
      <c r="Q250" s="26" t="str">
        <f t="shared" si="45"/>
        <v>Panel Posterior Corte Doble_NM-180*180 / H:2200W:720 mm</v>
      </c>
    </row>
    <row r="251" spans="1:17" ht="20" customHeight="1" outlineLevel="1" x14ac:dyDescent="0.65">
      <c r="A251" s="14">
        <v>231</v>
      </c>
      <c r="B251" s="15" t="str">
        <f t="shared" si="41"/>
        <v>2280PaPCD_NM</v>
      </c>
      <c r="C251" s="16" t="s">
        <v>304</v>
      </c>
      <c r="D251" s="49" t="s">
        <v>392</v>
      </c>
      <c r="E251" s="49"/>
      <c r="F251" s="49"/>
      <c r="G251" s="19" t="str">
        <f t="shared" si="42"/>
        <v>H:</v>
      </c>
      <c r="H251" s="19">
        <v>2200</v>
      </c>
      <c r="I251" s="20" t="str">
        <f t="shared" si="43"/>
        <v>W:</v>
      </c>
      <c r="J251" s="21">
        <v>800</v>
      </c>
      <c r="K251" s="21" t="str">
        <f t="shared" si="44"/>
        <v/>
      </c>
      <c r="L251" s="21"/>
      <c r="M251" s="22" t="s">
        <v>353</v>
      </c>
      <c r="N251" s="23" t="s">
        <v>198</v>
      </c>
      <c r="O251" s="24" t="s">
        <v>271</v>
      </c>
      <c r="P251" s="53" t="s">
        <v>217</v>
      </c>
      <c r="Q251" s="26" t="str">
        <f t="shared" si="45"/>
        <v>Panel Posterior Corte Doble_NM-180*180 / H:2200W:800 mm</v>
      </c>
    </row>
    <row r="252" spans="1:17" ht="20" customHeight="1" outlineLevel="1" x14ac:dyDescent="0.65">
      <c r="A252" s="14">
        <v>232</v>
      </c>
      <c r="B252" s="15" t="str">
        <f t="shared" si="41"/>
        <v>2211PaPCD_NM</v>
      </c>
      <c r="C252" s="16" t="s">
        <v>304</v>
      </c>
      <c r="D252" s="49" t="s">
        <v>393</v>
      </c>
      <c r="E252" s="49"/>
      <c r="F252" s="49"/>
      <c r="G252" s="19" t="str">
        <f t="shared" si="42"/>
        <v>H:</v>
      </c>
      <c r="H252" s="19">
        <v>2200</v>
      </c>
      <c r="I252" s="20" t="str">
        <f t="shared" si="43"/>
        <v>W:</v>
      </c>
      <c r="J252" s="21">
        <v>1120</v>
      </c>
      <c r="K252" s="21" t="str">
        <f t="shared" si="44"/>
        <v/>
      </c>
      <c r="L252" s="21"/>
      <c r="M252" s="22" t="s">
        <v>353</v>
      </c>
      <c r="N252" s="23" t="s">
        <v>198</v>
      </c>
      <c r="O252" s="24" t="s">
        <v>271</v>
      </c>
      <c r="P252" s="53" t="s">
        <v>217</v>
      </c>
      <c r="Q252" s="26" t="str">
        <f t="shared" si="45"/>
        <v>Panel Posterior Corte Doble_NM-180*180 / H:2200W:1120 mm</v>
      </c>
    </row>
    <row r="253" spans="1:17" ht="20" customHeight="1" outlineLevel="1" x14ac:dyDescent="0.65">
      <c r="A253" s="14">
        <v>233</v>
      </c>
      <c r="B253" s="15" t="str">
        <f t="shared" si="41"/>
        <v>1840PaPCD_NP</v>
      </c>
      <c r="C253" s="16" t="s">
        <v>304</v>
      </c>
      <c r="D253" s="49" t="s">
        <v>394</v>
      </c>
      <c r="E253" s="49"/>
      <c r="F253" s="49"/>
      <c r="G253" s="19" t="str">
        <f t="shared" si="42"/>
        <v>H:</v>
      </c>
      <c r="H253" s="19">
        <v>1800</v>
      </c>
      <c r="I253" s="20" t="str">
        <f t="shared" si="43"/>
        <v>W:</v>
      </c>
      <c r="J253" s="21">
        <v>400</v>
      </c>
      <c r="K253" s="21" t="str">
        <f t="shared" si="44"/>
        <v/>
      </c>
      <c r="L253" s="21"/>
      <c r="M253" s="22" t="s">
        <v>353</v>
      </c>
      <c r="N253" s="23" t="s">
        <v>198</v>
      </c>
      <c r="O253" s="24" t="s">
        <v>271</v>
      </c>
      <c r="P253" s="53" t="s">
        <v>226</v>
      </c>
      <c r="Q253" s="26" t="str">
        <f t="shared" si="45"/>
        <v>Panel Posterior Corte Doble_NP-125*125 / H:1800W:400 mm</v>
      </c>
    </row>
    <row r="254" spans="1:17" ht="20" customHeight="1" outlineLevel="1" x14ac:dyDescent="0.65">
      <c r="A254" s="14">
        <v>234</v>
      </c>
      <c r="B254" s="15" t="str">
        <f t="shared" si="41"/>
        <v>1872PaPCD_NP</v>
      </c>
      <c r="C254" s="16" t="s">
        <v>304</v>
      </c>
      <c r="D254" s="49" t="s">
        <v>395</v>
      </c>
      <c r="E254" s="49"/>
      <c r="F254" s="49"/>
      <c r="G254" s="19" t="str">
        <f t="shared" si="42"/>
        <v>H:</v>
      </c>
      <c r="H254" s="19">
        <v>1800</v>
      </c>
      <c r="I254" s="20" t="str">
        <f t="shared" si="43"/>
        <v>W:</v>
      </c>
      <c r="J254" s="21">
        <v>720</v>
      </c>
      <c r="K254" s="21" t="str">
        <f t="shared" si="44"/>
        <v/>
      </c>
      <c r="L254" s="21"/>
      <c r="M254" s="22" t="s">
        <v>353</v>
      </c>
      <c r="N254" s="23" t="s">
        <v>198</v>
      </c>
      <c r="O254" s="24" t="s">
        <v>271</v>
      </c>
      <c r="P254" s="53" t="s">
        <v>226</v>
      </c>
      <c r="Q254" s="26" t="str">
        <f t="shared" si="45"/>
        <v>Panel Posterior Corte Doble_NP-125*125 / H:1800W:720 mm</v>
      </c>
    </row>
    <row r="255" spans="1:17" ht="20" customHeight="1" outlineLevel="1" x14ac:dyDescent="0.65">
      <c r="A255" s="14">
        <v>235</v>
      </c>
      <c r="B255" s="15" t="str">
        <f t="shared" si="41"/>
        <v>1811PaPCD_NP</v>
      </c>
      <c r="C255" s="16" t="s">
        <v>304</v>
      </c>
      <c r="D255" s="49" t="s">
        <v>396</v>
      </c>
      <c r="E255" s="49"/>
      <c r="F255" s="49"/>
      <c r="G255" s="19" t="str">
        <f t="shared" si="42"/>
        <v>H:</v>
      </c>
      <c r="H255" s="19">
        <v>1800</v>
      </c>
      <c r="I255" s="20" t="str">
        <f t="shared" si="43"/>
        <v>W:</v>
      </c>
      <c r="J255" s="21">
        <v>1120</v>
      </c>
      <c r="K255" s="21" t="str">
        <f t="shared" si="44"/>
        <v/>
      </c>
      <c r="L255" s="21"/>
      <c r="M255" s="22" t="s">
        <v>353</v>
      </c>
      <c r="N255" s="23" t="s">
        <v>198</v>
      </c>
      <c r="O255" s="24" t="s">
        <v>271</v>
      </c>
      <c r="P255" s="53" t="s">
        <v>226</v>
      </c>
      <c r="Q255" s="26" t="str">
        <f t="shared" si="45"/>
        <v>Panel Posterior Corte Doble_NP-125*125 / H:1800W:1120 mm</v>
      </c>
    </row>
    <row r="256" spans="1:17" ht="20" customHeight="1" outlineLevel="1" x14ac:dyDescent="0.65">
      <c r="A256" s="14">
        <v>236</v>
      </c>
      <c r="B256" s="15" t="str">
        <f t="shared" si="41"/>
        <v>2040PaPCD_NP</v>
      </c>
      <c r="C256" s="16" t="s">
        <v>304</v>
      </c>
      <c r="D256" s="49" t="s">
        <v>397</v>
      </c>
      <c r="E256" s="49"/>
      <c r="F256" s="49"/>
      <c r="G256" s="19" t="str">
        <f t="shared" si="42"/>
        <v>H:</v>
      </c>
      <c r="H256" s="19">
        <v>2000</v>
      </c>
      <c r="I256" s="20" t="str">
        <f t="shared" si="43"/>
        <v>W:</v>
      </c>
      <c r="J256" s="21">
        <v>400</v>
      </c>
      <c r="K256" s="21" t="str">
        <f t="shared" si="44"/>
        <v/>
      </c>
      <c r="L256" s="21"/>
      <c r="M256" s="22" t="s">
        <v>353</v>
      </c>
      <c r="N256" s="23" t="s">
        <v>198</v>
      </c>
      <c r="O256" s="24" t="s">
        <v>271</v>
      </c>
      <c r="P256" s="53" t="s">
        <v>226</v>
      </c>
      <c r="Q256" s="26" t="str">
        <f t="shared" si="45"/>
        <v>Panel Posterior Corte Doble_NP-125*125 / H:2000W:400 mm</v>
      </c>
    </row>
    <row r="257" spans="1:17" ht="20" customHeight="1" outlineLevel="1" x14ac:dyDescent="0.65">
      <c r="A257" s="14">
        <v>237</v>
      </c>
      <c r="B257" s="15" t="str">
        <f t="shared" si="41"/>
        <v>2072PaPCD_NP</v>
      </c>
      <c r="C257" s="16" t="s">
        <v>304</v>
      </c>
      <c r="D257" s="49" t="s">
        <v>398</v>
      </c>
      <c r="E257" s="49"/>
      <c r="F257" s="49"/>
      <c r="G257" s="19" t="str">
        <f t="shared" si="42"/>
        <v>H:</v>
      </c>
      <c r="H257" s="19">
        <v>2000</v>
      </c>
      <c r="I257" s="20" t="str">
        <f t="shared" si="43"/>
        <v>W:</v>
      </c>
      <c r="J257" s="21">
        <v>720</v>
      </c>
      <c r="K257" s="21" t="str">
        <f t="shared" si="44"/>
        <v/>
      </c>
      <c r="L257" s="21"/>
      <c r="M257" s="22" t="s">
        <v>353</v>
      </c>
      <c r="N257" s="23" t="s">
        <v>198</v>
      </c>
      <c r="O257" s="24" t="s">
        <v>271</v>
      </c>
      <c r="P257" s="53" t="s">
        <v>226</v>
      </c>
      <c r="Q257" s="26" t="str">
        <f t="shared" si="45"/>
        <v>Panel Posterior Corte Doble_NP-125*125 / H:2000W:720 mm</v>
      </c>
    </row>
    <row r="258" spans="1:17" ht="20" customHeight="1" outlineLevel="1" x14ac:dyDescent="0.65">
      <c r="A258" s="14">
        <v>238</v>
      </c>
      <c r="B258" s="15" t="str">
        <f t="shared" si="41"/>
        <v>2080PaPCD_NP</v>
      </c>
      <c r="C258" s="16" t="s">
        <v>304</v>
      </c>
      <c r="D258" s="49" t="s">
        <v>399</v>
      </c>
      <c r="E258" s="49"/>
      <c r="F258" s="49"/>
      <c r="G258" s="19" t="str">
        <f t="shared" si="42"/>
        <v>H:</v>
      </c>
      <c r="H258" s="19">
        <v>2000</v>
      </c>
      <c r="I258" s="20" t="str">
        <f t="shared" si="43"/>
        <v>W:</v>
      </c>
      <c r="J258" s="21">
        <v>800</v>
      </c>
      <c r="K258" s="21" t="str">
        <f t="shared" si="44"/>
        <v/>
      </c>
      <c r="L258" s="21"/>
      <c r="M258" s="22" t="s">
        <v>353</v>
      </c>
      <c r="N258" s="23" t="s">
        <v>198</v>
      </c>
      <c r="O258" s="24" t="s">
        <v>271</v>
      </c>
      <c r="P258" s="53" t="s">
        <v>226</v>
      </c>
      <c r="Q258" s="26" t="str">
        <f t="shared" si="45"/>
        <v>Panel Posterior Corte Doble_NP-125*125 / H:2000W:800 mm</v>
      </c>
    </row>
    <row r="259" spans="1:17" ht="20" customHeight="1" outlineLevel="1" x14ac:dyDescent="0.65">
      <c r="A259" s="14">
        <v>239</v>
      </c>
      <c r="B259" s="15" t="str">
        <f t="shared" si="41"/>
        <v>2011PaPCD_NP</v>
      </c>
      <c r="C259" s="16" t="s">
        <v>304</v>
      </c>
      <c r="D259" s="49" t="s">
        <v>400</v>
      </c>
      <c r="E259" s="49"/>
      <c r="F259" s="49"/>
      <c r="G259" s="19" t="str">
        <f t="shared" si="42"/>
        <v>H:</v>
      </c>
      <c r="H259" s="19">
        <v>2000</v>
      </c>
      <c r="I259" s="20" t="str">
        <f t="shared" si="43"/>
        <v>W:</v>
      </c>
      <c r="J259" s="21">
        <v>1120</v>
      </c>
      <c r="K259" s="21" t="str">
        <f t="shared" si="44"/>
        <v/>
      </c>
      <c r="L259" s="21"/>
      <c r="M259" s="22" t="s">
        <v>353</v>
      </c>
      <c r="N259" s="23" t="s">
        <v>198</v>
      </c>
      <c r="O259" s="24" t="s">
        <v>271</v>
      </c>
      <c r="P259" s="53" t="s">
        <v>226</v>
      </c>
      <c r="Q259" s="26" t="str">
        <f t="shared" si="45"/>
        <v>Panel Posterior Corte Doble_NP-125*125 / H:2000W:1120 mm</v>
      </c>
    </row>
    <row r="260" spans="1:17" ht="20" customHeight="1" outlineLevel="1" x14ac:dyDescent="0.65">
      <c r="A260" s="14">
        <v>240</v>
      </c>
      <c r="B260" s="15" t="str">
        <f t="shared" si="41"/>
        <v>2240PaPCD_NP</v>
      </c>
      <c r="C260" s="16" t="s">
        <v>304</v>
      </c>
      <c r="D260" s="49" t="s">
        <v>401</v>
      </c>
      <c r="E260" s="49"/>
      <c r="F260" s="49"/>
      <c r="G260" s="19" t="str">
        <f t="shared" si="42"/>
        <v>H:</v>
      </c>
      <c r="H260" s="19">
        <v>2200</v>
      </c>
      <c r="I260" s="20" t="str">
        <f t="shared" si="43"/>
        <v>W:</v>
      </c>
      <c r="J260" s="21">
        <v>400</v>
      </c>
      <c r="K260" s="21" t="str">
        <f t="shared" si="44"/>
        <v/>
      </c>
      <c r="L260" s="21"/>
      <c r="M260" s="22" t="s">
        <v>353</v>
      </c>
      <c r="N260" s="23" t="s">
        <v>198</v>
      </c>
      <c r="O260" s="24" t="s">
        <v>271</v>
      </c>
      <c r="P260" s="53" t="s">
        <v>226</v>
      </c>
      <c r="Q260" s="26" t="str">
        <f t="shared" si="45"/>
        <v>Panel Posterior Corte Doble_NP-125*125 / H:2200W:400 mm</v>
      </c>
    </row>
    <row r="261" spans="1:17" ht="20" customHeight="1" outlineLevel="1" x14ac:dyDescent="0.65">
      <c r="A261" s="14">
        <v>241</v>
      </c>
      <c r="B261" s="15" t="str">
        <f t="shared" si="41"/>
        <v>2272PaPCD_NP</v>
      </c>
      <c r="C261" s="16" t="s">
        <v>304</v>
      </c>
      <c r="D261" s="49" t="s">
        <v>402</v>
      </c>
      <c r="E261" s="49"/>
      <c r="F261" s="49"/>
      <c r="G261" s="19" t="str">
        <f t="shared" si="42"/>
        <v>H:</v>
      </c>
      <c r="H261" s="19">
        <v>2200</v>
      </c>
      <c r="I261" s="20" t="str">
        <f t="shared" si="43"/>
        <v>W:</v>
      </c>
      <c r="J261" s="21">
        <v>720</v>
      </c>
      <c r="K261" s="21" t="str">
        <f t="shared" si="44"/>
        <v/>
      </c>
      <c r="L261" s="21"/>
      <c r="M261" s="22" t="s">
        <v>353</v>
      </c>
      <c r="N261" s="23" t="s">
        <v>198</v>
      </c>
      <c r="O261" s="24" t="s">
        <v>271</v>
      </c>
      <c r="P261" s="53" t="s">
        <v>226</v>
      </c>
      <c r="Q261" s="26" t="str">
        <f t="shared" si="45"/>
        <v>Panel Posterior Corte Doble_NP-125*125 / H:2200W:720 mm</v>
      </c>
    </row>
    <row r="262" spans="1:17" ht="20" customHeight="1" outlineLevel="1" x14ac:dyDescent="0.65">
      <c r="A262" s="14">
        <v>242</v>
      </c>
      <c r="B262" s="15" t="str">
        <f t="shared" si="41"/>
        <v>2280PaPCD_NP</v>
      </c>
      <c r="C262" s="16" t="s">
        <v>304</v>
      </c>
      <c r="D262" s="49" t="s">
        <v>403</v>
      </c>
      <c r="E262" s="49"/>
      <c r="F262" s="49"/>
      <c r="G262" s="19" t="str">
        <f t="shared" si="42"/>
        <v>H:</v>
      </c>
      <c r="H262" s="19">
        <v>2200</v>
      </c>
      <c r="I262" s="20" t="str">
        <f t="shared" si="43"/>
        <v>W:</v>
      </c>
      <c r="J262" s="21">
        <v>800</v>
      </c>
      <c r="K262" s="21" t="str">
        <f t="shared" si="44"/>
        <v/>
      </c>
      <c r="L262" s="21"/>
      <c r="M262" s="22" t="s">
        <v>353</v>
      </c>
      <c r="N262" s="23" t="s">
        <v>198</v>
      </c>
      <c r="O262" s="24" t="s">
        <v>271</v>
      </c>
      <c r="P262" s="53" t="s">
        <v>226</v>
      </c>
      <c r="Q262" s="26" t="str">
        <f t="shared" si="45"/>
        <v>Panel Posterior Corte Doble_NP-125*125 / H:2200W:800 mm</v>
      </c>
    </row>
    <row r="263" spans="1:17" ht="20" customHeight="1" outlineLevel="1" x14ac:dyDescent="0.65">
      <c r="A263" s="14">
        <v>243</v>
      </c>
      <c r="B263" s="15" t="str">
        <f t="shared" si="41"/>
        <v>2211PaPCD_NP</v>
      </c>
      <c r="C263" s="16" t="s">
        <v>304</v>
      </c>
      <c r="D263" s="49" t="s">
        <v>404</v>
      </c>
      <c r="E263" s="49"/>
      <c r="F263" s="49"/>
      <c r="G263" s="19" t="str">
        <f t="shared" si="42"/>
        <v>H:</v>
      </c>
      <c r="H263" s="19">
        <v>2200</v>
      </c>
      <c r="I263" s="20" t="str">
        <f t="shared" si="43"/>
        <v>W:</v>
      </c>
      <c r="J263" s="21">
        <v>1120</v>
      </c>
      <c r="K263" s="21" t="str">
        <f t="shared" si="44"/>
        <v/>
      </c>
      <c r="L263" s="21"/>
      <c r="M263" s="22" t="s">
        <v>353</v>
      </c>
      <c r="N263" s="23" t="s">
        <v>198</v>
      </c>
      <c r="O263" s="24" t="s">
        <v>271</v>
      </c>
      <c r="P263" s="53" t="s">
        <v>226</v>
      </c>
      <c r="Q263" s="26" t="str">
        <f t="shared" si="45"/>
        <v>Panel Posterior Corte Doble_NP-125*125 / H:2200W:1120 mm</v>
      </c>
    </row>
    <row r="264" spans="1:17" ht="20" customHeight="1" outlineLevel="1" x14ac:dyDescent="0.65">
      <c r="A264" s="14">
        <v>244</v>
      </c>
      <c r="B264" s="15" t="str">
        <f t="shared" si="41"/>
        <v>1872PaPCS_SE</v>
      </c>
      <c r="C264" s="16" t="s">
        <v>304</v>
      </c>
      <c r="D264" s="49" t="s">
        <v>405</v>
      </c>
      <c r="E264" s="49"/>
      <c r="F264" s="49"/>
      <c r="G264" s="19" t="str">
        <f t="shared" si="42"/>
        <v>H:</v>
      </c>
      <c r="H264" s="19">
        <v>1800</v>
      </c>
      <c r="I264" s="20" t="str">
        <f t="shared" si="43"/>
        <v>W:</v>
      </c>
      <c r="J264" s="21">
        <v>720</v>
      </c>
      <c r="K264" s="21" t="str">
        <f t="shared" si="44"/>
        <v/>
      </c>
      <c r="L264" s="21"/>
      <c r="M264" s="22" t="s">
        <v>353</v>
      </c>
      <c r="N264" s="23" t="s">
        <v>198</v>
      </c>
      <c r="O264" s="24" t="s">
        <v>39</v>
      </c>
      <c r="P264" s="53" t="s">
        <v>272</v>
      </c>
      <c r="Q264" s="26" t="str">
        <f t="shared" si="45"/>
        <v>Panel Posterior Corte Sencillo_SE-223*223 / H:1800W:720 mm</v>
      </c>
    </row>
    <row r="265" spans="1:17" ht="20" customHeight="1" outlineLevel="1" x14ac:dyDescent="0.65">
      <c r="A265" s="14">
        <v>245</v>
      </c>
      <c r="B265" s="15" t="str">
        <f t="shared" si="41"/>
        <v>1811PaPCS_SE</v>
      </c>
      <c r="C265" s="16" t="s">
        <v>304</v>
      </c>
      <c r="D265" s="49" t="s">
        <v>406</v>
      </c>
      <c r="E265" s="49"/>
      <c r="F265" s="49"/>
      <c r="G265" s="19" t="str">
        <f t="shared" si="42"/>
        <v>H:</v>
      </c>
      <c r="H265" s="19">
        <v>1800</v>
      </c>
      <c r="I265" s="20" t="str">
        <f t="shared" si="43"/>
        <v>W:</v>
      </c>
      <c r="J265" s="21">
        <v>1120</v>
      </c>
      <c r="K265" s="21" t="str">
        <f t="shared" si="44"/>
        <v/>
      </c>
      <c r="L265" s="21"/>
      <c r="M265" s="22" t="s">
        <v>353</v>
      </c>
      <c r="N265" s="23" t="s">
        <v>198</v>
      </c>
      <c r="O265" s="24" t="s">
        <v>39</v>
      </c>
      <c r="P265" s="53" t="s">
        <v>272</v>
      </c>
      <c r="Q265" s="26" t="str">
        <f t="shared" si="45"/>
        <v>Panel Posterior Corte Sencillo_SE-223*223 / H:1800W:1120 mm</v>
      </c>
    </row>
    <row r="266" spans="1:17" ht="20" customHeight="1" outlineLevel="1" x14ac:dyDescent="0.65">
      <c r="A266" s="14">
        <v>246</v>
      </c>
      <c r="B266" s="15" t="str">
        <f t="shared" si="41"/>
        <v>2072PaPCS_SE</v>
      </c>
      <c r="C266" s="16" t="s">
        <v>304</v>
      </c>
      <c r="D266" s="49" t="s">
        <v>407</v>
      </c>
      <c r="E266" s="49"/>
      <c r="F266" s="49"/>
      <c r="G266" s="19" t="str">
        <f t="shared" si="42"/>
        <v>H:</v>
      </c>
      <c r="H266" s="19">
        <v>2000</v>
      </c>
      <c r="I266" s="20" t="str">
        <f t="shared" si="43"/>
        <v>W:</v>
      </c>
      <c r="J266" s="21">
        <v>720</v>
      </c>
      <c r="K266" s="21" t="str">
        <f t="shared" si="44"/>
        <v/>
      </c>
      <c r="L266" s="21"/>
      <c r="M266" s="22" t="s">
        <v>353</v>
      </c>
      <c r="N266" s="23" t="s">
        <v>198</v>
      </c>
      <c r="O266" s="24" t="s">
        <v>39</v>
      </c>
      <c r="P266" s="53" t="s">
        <v>272</v>
      </c>
      <c r="Q266" s="26" t="str">
        <f t="shared" si="45"/>
        <v>Panel Posterior Corte Sencillo_SE-223*223 / H:2000W:720 mm</v>
      </c>
    </row>
    <row r="267" spans="1:17" ht="20" customHeight="1" outlineLevel="1" x14ac:dyDescent="0.65">
      <c r="A267" s="14">
        <v>247</v>
      </c>
      <c r="B267" s="15" t="str">
        <f t="shared" si="41"/>
        <v>2080PaPCS_SE</v>
      </c>
      <c r="C267" s="16" t="s">
        <v>304</v>
      </c>
      <c r="D267" s="49" t="s">
        <v>408</v>
      </c>
      <c r="E267" s="49"/>
      <c r="F267" s="49"/>
      <c r="G267" s="19" t="str">
        <f t="shared" si="42"/>
        <v>H:</v>
      </c>
      <c r="H267" s="19">
        <v>2000</v>
      </c>
      <c r="I267" s="20" t="str">
        <f t="shared" si="43"/>
        <v>W:</v>
      </c>
      <c r="J267" s="21">
        <v>800</v>
      </c>
      <c r="K267" s="21" t="str">
        <f t="shared" si="44"/>
        <v/>
      </c>
      <c r="L267" s="21"/>
      <c r="M267" s="22" t="s">
        <v>353</v>
      </c>
      <c r="N267" s="23" t="s">
        <v>198</v>
      </c>
      <c r="O267" s="24" t="s">
        <v>39</v>
      </c>
      <c r="P267" s="53" t="s">
        <v>272</v>
      </c>
      <c r="Q267" s="26" t="str">
        <f t="shared" si="45"/>
        <v>Panel Posterior Corte Sencillo_SE-223*223 / H:2000W:800 mm</v>
      </c>
    </row>
    <row r="268" spans="1:17" ht="20" customHeight="1" outlineLevel="1" x14ac:dyDescent="0.65">
      <c r="A268" s="14">
        <v>248</v>
      </c>
      <c r="B268" s="15" t="str">
        <f t="shared" si="41"/>
        <v>2011PaPCS_SE</v>
      </c>
      <c r="C268" s="16" t="s">
        <v>304</v>
      </c>
      <c r="D268" s="49" t="s">
        <v>409</v>
      </c>
      <c r="E268" s="49"/>
      <c r="F268" s="49"/>
      <c r="G268" s="19" t="str">
        <f t="shared" si="42"/>
        <v>H:</v>
      </c>
      <c r="H268" s="19">
        <v>2000</v>
      </c>
      <c r="I268" s="20" t="str">
        <f t="shared" si="43"/>
        <v>W:</v>
      </c>
      <c r="J268" s="21">
        <v>1120</v>
      </c>
      <c r="K268" s="21" t="str">
        <f t="shared" si="44"/>
        <v/>
      </c>
      <c r="L268" s="21"/>
      <c r="M268" s="22" t="s">
        <v>353</v>
      </c>
      <c r="N268" s="23" t="s">
        <v>198</v>
      </c>
      <c r="O268" s="24" t="s">
        <v>39</v>
      </c>
      <c r="P268" s="53" t="s">
        <v>272</v>
      </c>
      <c r="Q268" s="26" t="str">
        <f t="shared" si="45"/>
        <v>Panel Posterior Corte Sencillo_SE-223*223 / H:2000W:1120 mm</v>
      </c>
    </row>
    <row r="269" spans="1:17" ht="20" customHeight="1" outlineLevel="1" x14ac:dyDescent="0.65">
      <c r="A269" s="14">
        <v>249</v>
      </c>
      <c r="B269" s="15" t="str">
        <f t="shared" si="41"/>
        <v>2272PaPCS_SE</v>
      </c>
      <c r="C269" s="16" t="s">
        <v>304</v>
      </c>
      <c r="D269" s="49" t="s">
        <v>410</v>
      </c>
      <c r="E269" s="49"/>
      <c r="F269" s="49"/>
      <c r="G269" s="19" t="str">
        <f t="shared" si="42"/>
        <v>H:</v>
      </c>
      <c r="H269" s="19">
        <v>2200</v>
      </c>
      <c r="I269" s="20" t="str">
        <f t="shared" si="43"/>
        <v>W:</v>
      </c>
      <c r="J269" s="21">
        <v>720</v>
      </c>
      <c r="K269" s="21" t="str">
        <f t="shared" si="44"/>
        <v/>
      </c>
      <c r="L269" s="21"/>
      <c r="M269" s="22" t="s">
        <v>353</v>
      </c>
      <c r="N269" s="23" t="s">
        <v>198</v>
      </c>
      <c r="O269" s="24" t="s">
        <v>39</v>
      </c>
      <c r="P269" s="53" t="s">
        <v>272</v>
      </c>
      <c r="Q269" s="26" t="str">
        <f t="shared" si="45"/>
        <v>Panel Posterior Corte Sencillo_SE-223*223 / H:2200W:720 mm</v>
      </c>
    </row>
    <row r="270" spans="1:17" ht="20" customHeight="1" outlineLevel="1" x14ac:dyDescent="0.65">
      <c r="A270" s="14">
        <v>250</v>
      </c>
      <c r="B270" s="15" t="str">
        <f t="shared" si="41"/>
        <v>2280PaPCS_SE</v>
      </c>
      <c r="C270" s="16" t="s">
        <v>304</v>
      </c>
      <c r="D270" s="49" t="s">
        <v>411</v>
      </c>
      <c r="E270" s="49"/>
      <c r="F270" s="49"/>
      <c r="G270" s="19" t="str">
        <f t="shared" si="42"/>
        <v>H:</v>
      </c>
      <c r="H270" s="19">
        <v>2200</v>
      </c>
      <c r="I270" s="20" t="str">
        <f t="shared" si="43"/>
        <v>W:</v>
      </c>
      <c r="J270" s="21">
        <v>800</v>
      </c>
      <c r="K270" s="21" t="str">
        <f t="shared" si="44"/>
        <v/>
      </c>
      <c r="L270" s="21"/>
      <c r="M270" s="22" t="s">
        <v>353</v>
      </c>
      <c r="N270" s="23" t="s">
        <v>198</v>
      </c>
      <c r="O270" s="24" t="s">
        <v>39</v>
      </c>
      <c r="P270" s="53" t="s">
        <v>272</v>
      </c>
      <c r="Q270" s="26" t="str">
        <f t="shared" si="45"/>
        <v>Panel Posterior Corte Sencillo_SE-223*223 / H:2200W:800 mm</v>
      </c>
    </row>
    <row r="271" spans="1:17" ht="20" customHeight="1" outlineLevel="1" x14ac:dyDescent="0.65">
      <c r="A271" s="14">
        <v>251</v>
      </c>
      <c r="B271" s="15" t="str">
        <f t="shared" si="41"/>
        <v>2211PaPCS_SE</v>
      </c>
      <c r="C271" s="16" t="s">
        <v>304</v>
      </c>
      <c r="D271" s="49" t="s">
        <v>412</v>
      </c>
      <c r="E271" s="49"/>
      <c r="F271" s="49"/>
      <c r="G271" s="19" t="str">
        <f t="shared" si="42"/>
        <v>H:</v>
      </c>
      <c r="H271" s="19">
        <v>2200</v>
      </c>
      <c r="I271" s="20" t="str">
        <f t="shared" si="43"/>
        <v>W:</v>
      </c>
      <c r="J271" s="21">
        <v>1120</v>
      </c>
      <c r="K271" s="21" t="str">
        <f t="shared" si="44"/>
        <v/>
      </c>
      <c r="L271" s="21"/>
      <c r="M271" s="22" t="s">
        <v>353</v>
      </c>
      <c r="N271" s="23" t="s">
        <v>198</v>
      </c>
      <c r="O271" s="24" t="s">
        <v>39</v>
      </c>
      <c r="P271" s="53" t="s">
        <v>272</v>
      </c>
      <c r="Q271" s="26" t="str">
        <f t="shared" si="45"/>
        <v>Panel Posterior Corte Sencillo_SE-223*223 / H:2200W:1120 mm</v>
      </c>
    </row>
    <row r="272" spans="1:17" ht="20" customHeight="1" outlineLevel="1" x14ac:dyDescent="0.65">
      <c r="A272" s="14">
        <v>252</v>
      </c>
      <c r="B272" s="15" t="str">
        <f t="shared" si="41"/>
        <v>1872PaPCS_NG</v>
      </c>
      <c r="C272" s="16" t="s">
        <v>304</v>
      </c>
      <c r="D272" s="49" t="s">
        <v>413</v>
      </c>
      <c r="E272" s="49"/>
      <c r="F272" s="49"/>
      <c r="G272" s="19" t="str">
        <f t="shared" si="42"/>
        <v>H:</v>
      </c>
      <c r="H272" s="19">
        <v>1800</v>
      </c>
      <c r="I272" s="20" t="str">
        <f t="shared" si="43"/>
        <v>W:</v>
      </c>
      <c r="J272" s="21">
        <v>720</v>
      </c>
      <c r="K272" s="21" t="str">
        <f t="shared" si="44"/>
        <v/>
      </c>
      <c r="L272" s="21"/>
      <c r="M272" s="22" t="s">
        <v>353</v>
      </c>
      <c r="N272" s="23" t="s">
        <v>198</v>
      </c>
      <c r="O272" s="24" t="s">
        <v>39</v>
      </c>
      <c r="P272" s="53" t="s">
        <v>208</v>
      </c>
      <c r="Q272" s="26" t="str">
        <f t="shared" si="45"/>
        <v>Panel Posterior Corte Sencillo_NG-229*229 / H:1800W:720 mm</v>
      </c>
    </row>
    <row r="273" spans="1:17" ht="20" customHeight="1" outlineLevel="1" x14ac:dyDescent="0.65">
      <c r="A273" s="14">
        <v>253</v>
      </c>
      <c r="B273" s="15" t="str">
        <f t="shared" si="41"/>
        <v>1811PaPCS_NG</v>
      </c>
      <c r="C273" s="16" t="s">
        <v>304</v>
      </c>
      <c r="D273" s="49" t="s">
        <v>414</v>
      </c>
      <c r="E273" s="49"/>
      <c r="F273" s="49"/>
      <c r="G273" s="19" t="str">
        <f t="shared" si="42"/>
        <v>H:</v>
      </c>
      <c r="H273" s="19">
        <v>1800</v>
      </c>
      <c r="I273" s="20" t="str">
        <f t="shared" si="43"/>
        <v>W:</v>
      </c>
      <c r="J273" s="21">
        <v>1120</v>
      </c>
      <c r="K273" s="21" t="str">
        <f t="shared" si="44"/>
        <v/>
      </c>
      <c r="L273" s="21"/>
      <c r="M273" s="22" t="s">
        <v>353</v>
      </c>
      <c r="N273" s="23" t="s">
        <v>198</v>
      </c>
      <c r="O273" s="24" t="s">
        <v>39</v>
      </c>
      <c r="P273" s="53" t="s">
        <v>208</v>
      </c>
      <c r="Q273" s="26" t="str">
        <f t="shared" si="45"/>
        <v>Panel Posterior Corte Sencillo_NG-229*229 / H:1800W:1120 mm</v>
      </c>
    </row>
    <row r="274" spans="1:17" ht="20" customHeight="1" outlineLevel="1" x14ac:dyDescent="0.65">
      <c r="A274" s="14">
        <v>254</v>
      </c>
      <c r="B274" s="15" t="str">
        <f t="shared" si="41"/>
        <v>2072PaPCS_NG</v>
      </c>
      <c r="C274" s="16" t="s">
        <v>304</v>
      </c>
      <c r="D274" s="49" t="s">
        <v>415</v>
      </c>
      <c r="E274" s="49"/>
      <c r="F274" s="49"/>
      <c r="G274" s="19" t="str">
        <f t="shared" si="42"/>
        <v>H:</v>
      </c>
      <c r="H274" s="19">
        <v>2000</v>
      </c>
      <c r="I274" s="20" t="str">
        <f t="shared" si="43"/>
        <v>W:</v>
      </c>
      <c r="J274" s="21">
        <v>720</v>
      </c>
      <c r="K274" s="21" t="str">
        <f t="shared" si="44"/>
        <v/>
      </c>
      <c r="L274" s="21"/>
      <c r="M274" s="22" t="s">
        <v>353</v>
      </c>
      <c r="N274" s="23" t="s">
        <v>198</v>
      </c>
      <c r="O274" s="24" t="s">
        <v>39</v>
      </c>
      <c r="P274" s="53" t="s">
        <v>208</v>
      </c>
      <c r="Q274" s="26" t="str">
        <f t="shared" si="45"/>
        <v>Panel Posterior Corte Sencillo_NG-229*229 / H:2000W:720 mm</v>
      </c>
    </row>
    <row r="275" spans="1:17" ht="20" customHeight="1" outlineLevel="1" x14ac:dyDescent="0.65">
      <c r="A275" s="14">
        <v>255</v>
      </c>
      <c r="B275" s="15" t="str">
        <f t="shared" ref="B275:B338" si="46">MID(H275,1,2)&amp;MID(J275,1,2)&amp;MID(L275,1,2)&amp;MID(C275,1,2)&amp;MID(M275,1,1)&amp;MID(N275,1,1)&amp;MID(O275,1,1)&amp;MID(P275,1,3)</f>
        <v>2080PaPCS_NG</v>
      </c>
      <c r="C275" s="16" t="s">
        <v>304</v>
      </c>
      <c r="D275" s="49" t="s">
        <v>416</v>
      </c>
      <c r="E275" s="49"/>
      <c r="F275" s="49"/>
      <c r="G275" s="19" t="str">
        <f t="shared" si="42"/>
        <v>H:</v>
      </c>
      <c r="H275" s="19">
        <v>2000</v>
      </c>
      <c r="I275" s="20" t="str">
        <f t="shared" si="43"/>
        <v>W:</v>
      </c>
      <c r="J275" s="21">
        <v>800</v>
      </c>
      <c r="K275" s="21" t="str">
        <f t="shared" si="44"/>
        <v/>
      </c>
      <c r="L275" s="21"/>
      <c r="M275" s="22" t="s">
        <v>353</v>
      </c>
      <c r="N275" s="23" t="s">
        <v>198</v>
      </c>
      <c r="O275" s="24" t="s">
        <v>39</v>
      </c>
      <c r="P275" s="53" t="s">
        <v>208</v>
      </c>
      <c r="Q275" s="26" t="str">
        <f t="shared" si="45"/>
        <v>Panel Posterior Corte Sencillo_NG-229*229 / H:2000W:800 mm</v>
      </c>
    </row>
    <row r="276" spans="1:17" ht="20" customHeight="1" outlineLevel="1" x14ac:dyDescent="0.65">
      <c r="A276" s="14">
        <v>256</v>
      </c>
      <c r="B276" s="15" t="str">
        <f t="shared" si="46"/>
        <v>2011PaPCS_NG</v>
      </c>
      <c r="C276" s="16" t="s">
        <v>304</v>
      </c>
      <c r="D276" s="49" t="s">
        <v>417</v>
      </c>
      <c r="E276" s="49"/>
      <c r="F276" s="49"/>
      <c r="G276" s="19" t="str">
        <f t="shared" ref="G276:G339" si="47">IF(H276&lt;&gt;"","H:","")</f>
        <v>H:</v>
      </c>
      <c r="H276" s="19">
        <v>2000</v>
      </c>
      <c r="I276" s="20" t="str">
        <f t="shared" ref="I276:I339" si="48">IF(J276&lt;&gt;"","W:","")</f>
        <v>W:</v>
      </c>
      <c r="J276" s="21">
        <v>1120</v>
      </c>
      <c r="K276" s="21" t="str">
        <f t="shared" ref="K276:K339" si="49">IF(L276&lt;&gt;"","D:","")</f>
        <v/>
      </c>
      <c r="L276" s="21"/>
      <c r="M276" s="22" t="s">
        <v>353</v>
      </c>
      <c r="N276" s="23" t="s">
        <v>198</v>
      </c>
      <c r="O276" s="24" t="s">
        <v>39</v>
      </c>
      <c r="P276" s="53" t="s">
        <v>208</v>
      </c>
      <c r="Q276" s="26" t="str">
        <f t="shared" ref="Q276:Q339" si="50">IF(B276&lt;&gt;"",(C276&amp;M276&amp;N276&amp;O276&amp;P276&amp;" / "&amp;G276&amp;H276&amp;I276&amp;J276&amp;K276&amp;L276&amp;" mm"),"")</f>
        <v>Panel Posterior Corte Sencillo_NG-229*229 / H:2000W:1120 mm</v>
      </c>
    </row>
    <row r="277" spans="1:17" ht="20" customHeight="1" outlineLevel="1" x14ac:dyDescent="0.65">
      <c r="A277" s="14">
        <v>257</v>
      </c>
      <c r="B277" s="15" t="str">
        <f t="shared" si="46"/>
        <v>2272PaPCS_NG</v>
      </c>
      <c r="C277" s="16" t="s">
        <v>304</v>
      </c>
      <c r="D277" s="49" t="s">
        <v>418</v>
      </c>
      <c r="E277" s="49"/>
      <c r="F277" s="49"/>
      <c r="G277" s="19" t="str">
        <f t="shared" si="47"/>
        <v>H:</v>
      </c>
      <c r="H277" s="19">
        <v>2200</v>
      </c>
      <c r="I277" s="20" t="str">
        <f t="shared" si="48"/>
        <v>W:</v>
      </c>
      <c r="J277" s="21">
        <v>720</v>
      </c>
      <c r="K277" s="21" t="str">
        <f t="shared" si="49"/>
        <v/>
      </c>
      <c r="L277" s="21"/>
      <c r="M277" s="22" t="s">
        <v>353</v>
      </c>
      <c r="N277" s="23" t="s">
        <v>198</v>
      </c>
      <c r="O277" s="24" t="s">
        <v>39</v>
      </c>
      <c r="P277" s="53" t="s">
        <v>208</v>
      </c>
      <c r="Q277" s="26" t="str">
        <f t="shared" si="50"/>
        <v>Panel Posterior Corte Sencillo_NG-229*229 / H:2200W:720 mm</v>
      </c>
    </row>
    <row r="278" spans="1:17" ht="20" customHeight="1" outlineLevel="1" x14ac:dyDescent="0.65">
      <c r="A278" s="14">
        <v>258</v>
      </c>
      <c r="B278" s="15" t="str">
        <f t="shared" si="46"/>
        <v>2280PaPCS_NG</v>
      </c>
      <c r="C278" s="16" t="s">
        <v>304</v>
      </c>
      <c r="D278" s="49" t="s">
        <v>419</v>
      </c>
      <c r="E278" s="49"/>
      <c r="F278" s="49"/>
      <c r="G278" s="19" t="str">
        <f t="shared" si="47"/>
        <v>H:</v>
      </c>
      <c r="H278" s="19">
        <v>2200</v>
      </c>
      <c r="I278" s="20" t="str">
        <f t="shared" si="48"/>
        <v>W:</v>
      </c>
      <c r="J278" s="21">
        <v>800</v>
      </c>
      <c r="K278" s="21" t="str">
        <f t="shared" si="49"/>
        <v/>
      </c>
      <c r="L278" s="21"/>
      <c r="M278" s="22" t="s">
        <v>353</v>
      </c>
      <c r="N278" s="23" t="s">
        <v>198</v>
      </c>
      <c r="O278" s="24" t="s">
        <v>39</v>
      </c>
      <c r="P278" s="53" t="s">
        <v>208</v>
      </c>
      <c r="Q278" s="26" t="str">
        <f t="shared" si="50"/>
        <v>Panel Posterior Corte Sencillo_NG-229*229 / H:2200W:800 mm</v>
      </c>
    </row>
    <row r="279" spans="1:17" ht="20" customHeight="1" outlineLevel="1" x14ac:dyDescent="0.65">
      <c r="A279" s="14">
        <v>259</v>
      </c>
      <c r="B279" s="15" t="str">
        <f t="shared" si="46"/>
        <v>2211PaPCS_NG</v>
      </c>
      <c r="C279" s="16" t="s">
        <v>304</v>
      </c>
      <c r="D279" s="49" t="s">
        <v>420</v>
      </c>
      <c r="E279" s="49"/>
      <c r="F279" s="49"/>
      <c r="G279" s="19" t="str">
        <f t="shared" si="47"/>
        <v>H:</v>
      </c>
      <c r="H279" s="19">
        <v>2200</v>
      </c>
      <c r="I279" s="20" t="str">
        <f t="shared" si="48"/>
        <v>W:</v>
      </c>
      <c r="J279" s="21">
        <v>1120</v>
      </c>
      <c r="K279" s="21" t="str">
        <f t="shared" si="49"/>
        <v/>
      </c>
      <c r="L279" s="21"/>
      <c r="M279" s="22" t="s">
        <v>353</v>
      </c>
      <c r="N279" s="23" t="s">
        <v>198</v>
      </c>
      <c r="O279" s="24" t="s">
        <v>39</v>
      </c>
      <c r="P279" s="53" t="s">
        <v>208</v>
      </c>
      <c r="Q279" s="26" t="str">
        <f t="shared" si="50"/>
        <v>Panel Posterior Corte Sencillo_NG-229*229 / H:2200W:1120 mm</v>
      </c>
    </row>
    <row r="280" spans="1:17" ht="20" customHeight="1" outlineLevel="1" x14ac:dyDescent="0.65">
      <c r="A280" s="14">
        <v>260</v>
      </c>
      <c r="B280" s="15" t="str">
        <f t="shared" si="46"/>
        <v>1840PaPCS_NM</v>
      </c>
      <c r="C280" s="16" t="s">
        <v>304</v>
      </c>
      <c r="D280" s="49" t="s">
        <v>421</v>
      </c>
      <c r="E280" s="49"/>
      <c r="F280" s="49"/>
      <c r="G280" s="19" t="str">
        <f t="shared" si="47"/>
        <v>H:</v>
      </c>
      <c r="H280" s="19">
        <v>1800</v>
      </c>
      <c r="I280" s="20" t="str">
        <f t="shared" si="48"/>
        <v>W:</v>
      </c>
      <c r="J280" s="21">
        <v>400</v>
      </c>
      <c r="K280" s="21" t="str">
        <f t="shared" si="49"/>
        <v/>
      </c>
      <c r="L280" s="21"/>
      <c r="M280" s="22" t="s">
        <v>353</v>
      </c>
      <c r="N280" s="23" t="s">
        <v>198</v>
      </c>
      <c r="O280" s="24" t="s">
        <v>39</v>
      </c>
      <c r="P280" s="53" t="s">
        <v>217</v>
      </c>
      <c r="Q280" s="26" t="str">
        <f t="shared" si="50"/>
        <v>Panel Posterior Corte Sencillo_NM-180*180 / H:1800W:400 mm</v>
      </c>
    </row>
    <row r="281" spans="1:17" ht="20" customHeight="1" outlineLevel="1" x14ac:dyDescent="0.65">
      <c r="A281" s="14">
        <v>261</v>
      </c>
      <c r="B281" s="15" t="str">
        <f t="shared" si="46"/>
        <v>1872PaPCS_NM</v>
      </c>
      <c r="C281" s="16" t="s">
        <v>304</v>
      </c>
      <c r="D281" s="49" t="s">
        <v>422</v>
      </c>
      <c r="E281" s="49"/>
      <c r="F281" s="49"/>
      <c r="G281" s="19" t="str">
        <f t="shared" si="47"/>
        <v>H:</v>
      </c>
      <c r="H281" s="19">
        <v>1800</v>
      </c>
      <c r="I281" s="20" t="str">
        <f t="shared" si="48"/>
        <v>W:</v>
      </c>
      <c r="J281" s="21">
        <v>720</v>
      </c>
      <c r="K281" s="21" t="str">
        <f t="shared" si="49"/>
        <v/>
      </c>
      <c r="L281" s="21"/>
      <c r="M281" s="22" t="s">
        <v>353</v>
      </c>
      <c r="N281" s="23" t="s">
        <v>198</v>
      </c>
      <c r="O281" s="24" t="s">
        <v>39</v>
      </c>
      <c r="P281" s="53" t="s">
        <v>217</v>
      </c>
      <c r="Q281" s="26" t="str">
        <f t="shared" si="50"/>
        <v>Panel Posterior Corte Sencillo_NM-180*180 / H:1800W:720 mm</v>
      </c>
    </row>
    <row r="282" spans="1:17" ht="20" customHeight="1" outlineLevel="1" x14ac:dyDescent="0.65">
      <c r="A282" s="14">
        <v>262</v>
      </c>
      <c r="B282" s="15" t="str">
        <f t="shared" si="46"/>
        <v>1811PaPCS_NM</v>
      </c>
      <c r="C282" s="16" t="s">
        <v>304</v>
      </c>
      <c r="D282" s="49" t="s">
        <v>423</v>
      </c>
      <c r="E282" s="49"/>
      <c r="F282" s="49"/>
      <c r="G282" s="19" t="str">
        <f t="shared" si="47"/>
        <v>H:</v>
      </c>
      <c r="H282" s="19">
        <v>1800</v>
      </c>
      <c r="I282" s="20" t="str">
        <f t="shared" si="48"/>
        <v>W:</v>
      </c>
      <c r="J282" s="21">
        <v>1120</v>
      </c>
      <c r="K282" s="21" t="str">
        <f t="shared" si="49"/>
        <v/>
      </c>
      <c r="L282" s="21"/>
      <c r="M282" s="22" t="s">
        <v>353</v>
      </c>
      <c r="N282" s="23" t="s">
        <v>198</v>
      </c>
      <c r="O282" s="24" t="s">
        <v>39</v>
      </c>
      <c r="P282" s="53" t="s">
        <v>217</v>
      </c>
      <c r="Q282" s="26" t="str">
        <f t="shared" si="50"/>
        <v>Panel Posterior Corte Sencillo_NM-180*180 / H:1800W:1120 mm</v>
      </c>
    </row>
    <row r="283" spans="1:17" ht="20" customHeight="1" outlineLevel="1" x14ac:dyDescent="0.65">
      <c r="A283" s="14">
        <v>263</v>
      </c>
      <c r="B283" s="15" t="str">
        <f t="shared" si="46"/>
        <v>2040PaPCS_NM</v>
      </c>
      <c r="C283" s="16" t="s">
        <v>304</v>
      </c>
      <c r="D283" s="49" t="s">
        <v>424</v>
      </c>
      <c r="E283" s="49"/>
      <c r="F283" s="49"/>
      <c r="G283" s="19" t="str">
        <f t="shared" si="47"/>
        <v>H:</v>
      </c>
      <c r="H283" s="19">
        <v>2000</v>
      </c>
      <c r="I283" s="20" t="str">
        <f t="shared" si="48"/>
        <v>W:</v>
      </c>
      <c r="J283" s="21">
        <v>400</v>
      </c>
      <c r="K283" s="21" t="str">
        <f t="shared" si="49"/>
        <v/>
      </c>
      <c r="L283" s="21"/>
      <c r="M283" s="22" t="s">
        <v>353</v>
      </c>
      <c r="N283" s="23" t="s">
        <v>198</v>
      </c>
      <c r="O283" s="24" t="s">
        <v>39</v>
      </c>
      <c r="P283" s="53" t="s">
        <v>217</v>
      </c>
      <c r="Q283" s="26" t="str">
        <f t="shared" si="50"/>
        <v>Panel Posterior Corte Sencillo_NM-180*180 / H:2000W:400 mm</v>
      </c>
    </row>
    <row r="284" spans="1:17" ht="20" customHeight="1" outlineLevel="1" x14ac:dyDescent="0.65">
      <c r="A284" s="14">
        <v>264</v>
      </c>
      <c r="B284" s="15" t="str">
        <f t="shared" si="46"/>
        <v>2072PaPCS_NM</v>
      </c>
      <c r="C284" s="16" t="s">
        <v>304</v>
      </c>
      <c r="D284" s="49" t="s">
        <v>425</v>
      </c>
      <c r="E284" s="49"/>
      <c r="F284" s="49"/>
      <c r="G284" s="19" t="str">
        <f t="shared" si="47"/>
        <v>H:</v>
      </c>
      <c r="H284" s="19">
        <v>2000</v>
      </c>
      <c r="I284" s="20" t="str">
        <f t="shared" si="48"/>
        <v>W:</v>
      </c>
      <c r="J284" s="21">
        <v>720</v>
      </c>
      <c r="K284" s="21" t="str">
        <f t="shared" si="49"/>
        <v/>
      </c>
      <c r="L284" s="21"/>
      <c r="M284" s="22" t="s">
        <v>353</v>
      </c>
      <c r="N284" s="23" t="s">
        <v>198</v>
      </c>
      <c r="O284" s="24" t="s">
        <v>39</v>
      </c>
      <c r="P284" s="53" t="s">
        <v>217</v>
      </c>
      <c r="Q284" s="26" t="str">
        <f t="shared" si="50"/>
        <v>Panel Posterior Corte Sencillo_NM-180*180 / H:2000W:720 mm</v>
      </c>
    </row>
    <row r="285" spans="1:17" ht="20" customHeight="1" outlineLevel="1" x14ac:dyDescent="0.65">
      <c r="A285" s="14">
        <v>265</v>
      </c>
      <c r="B285" s="15" t="str">
        <f t="shared" si="46"/>
        <v>2080PaPCS_NM</v>
      </c>
      <c r="C285" s="16" t="s">
        <v>304</v>
      </c>
      <c r="D285" s="49" t="s">
        <v>426</v>
      </c>
      <c r="E285" s="49"/>
      <c r="F285" s="49"/>
      <c r="G285" s="19" t="str">
        <f t="shared" si="47"/>
        <v>H:</v>
      </c>
      <c r="H285" s="19">
        <v>2000</v>
      </c>
      <c r="I285" s="20" t="str">
        <f t="shared" si="48"/>
        <v>W:</v>
      </c>
      <c r="J285" s="21">
        <v>800</v>
      </c>
      <c r="K285" s="21" t="str">
        <f t="shared" si="49"/>
        <v/>
      </c>
      <c r="L285" s="21"/>
      <c r="M285" s="22" t="s">
        <v>353</v>
      </c>
      <c r="N285" s="23" t="s">
        <v>198</v>
      </c>
      <c r="O285" s="24" t="s">
        <v>39</v>
      </c>
      <c r="P285" s="53" t="s">
        <v>217</v>
      </c>
      <c r="Q285" s="26" t="str">
        <f t="shared" si="50"/>
        <v>Panel Posterior Corte Sencillo_NM-180*180 / H:2000W:800 mm</v>
      </c>
    </row>
    <row r="286" spans="1:17" ht="20" customHeight="1" outlineLevel="1" x14ac:dyDescent="0.65">
      <c r="A286" s="14">
        <v>266</v>
      </c>
      <c r="B286" s="15" t="str">
        <f t="shared" si="46"/>
        <v>2011PaPCS_NM</v>
      </c>
      <c r="C286" s="16" t="s">
        <v>304</v>
      </c>
      <c r="D286" s="49" t="s">
        <v>427</v>
      </c>
      <c r="E286" s="49"/>
      <c r="F286" s="49"/>
      <c r="G286" s="19" t="str">
        <f t="shared" si="47"/>
        <v>H:</v>
      </c>
      <c r="H286" s="19">
        <v>2000</v>
      </c>
      <c r="I286" s="20" t="str">
        <f t="shared" si="48"/>
        <v>W:</v>
      </c>
      <c r="J286" s="21">
        <v>1120</v>
      </c>
      <c r="K286" s="21" t="str">
        <f t="shared" si="49"/>
        <v/>
      </c>
      <c r="L286" s="21"/>
      <c r="M286" s="22" t="s">
        <v>353</v>
      </c>
      <c r="N286" s="23" t="s">
        <v>198</v>
      </c>
      <c r="O286" s="24" t="s">
        <v>39</v>
      </c>
      <c r="P286" s="53" t="s">
        <v>217</v>
      </c>
      <c r="Q286" s="26" t="str">
        <f t="shared" si="50"/>
        <v>Panel Posterior Corte Sencillo_NM-180*180 / H:2000W:1120 mm</v>
      </c>
    </row>
    <row r="287" spans="1:17" ht="20" customHeight="1" outlineLevel="1" x14ac:dyDescent="0.65">
      <c r="A287" s="14">
        <v>267</v>
      </c>
      <c r="B287" s="15" t="str">
        <f t="shared" si="46"/>
        <v>2240PaPCS_NM</v>
      </c>
      <c r="C287" s="16" t="s">
        <v>304</v>
      </c>
      <c r="D287" s="49" t="s">
        <v>428</v>
      </c>
      <c r="E287" s="49"/>
      <c r="F287" s="49"/>
      <c r="G287" s="19" t="str">
        <f t="shared" si="47"/>
        <v>H:</v>
      </c>
      <c r="H287" s="19">
        <v>2200</v>
      </c>
      <c r="I287" s="20" t="str">
        <f t="shared" si="48"/>
        <v>W:</v>
      </c>
      <c r="J287" s="21">
        <v>400</v>
      </c>
      <c r="K287" s="21" t="str">
        <f t="shared" si="49"/>
        <v/>
      </c>
      <c r="L287" s="21"/>
      <c r="M287" s="22" t="s">
        <v>353</v>
      </c>
      <c r="N287" s="23" t="s">
        <v>198</v>
      </c>
      <c r="O287" s="24" t="s">
        <v>39</v>
      </c>
      <c r="P287" s="53" t="s">
        <v>217</v>
      </c>
      <c r="Q287" s="26" t="str">
        <f t="shared" si="50"/>
        <v>Panel Posterior Corte Sencillo_NM-180*180 / H:2200W:400 mm</v>
      </c>
    </row>
    <row r="288" spans="1:17" ht="20" customHeight="1" outlineLevel="1" x14ac:dyDescent="0.65">
      <c r="A288" s="14">
        <v>268</v>
      </c>
      <c r="B288" s="15" t="str">
        <f t="shared" si="46"/>
        <v>2272PaPCS_NM</v>
      </c>
      <c r="C288" s="16" t="s">
        <v>304</v>
      </c>
      <c r="D288" s="49" t="s">
        <v>429</v>
      </c>
      <c r="E288" s="49"/>
      <c r="F288" s="49"/>
      <c r="G288" s="19" t="str">
        <f t="shared" si="47"/>
        <v>H:</v>
      </c>
      <c r="H288" s="19">
        <v>2200</v>
      </c>
      <c r="I288" s="20" t="str">
        <f t="shared" si="48"/>
        <v>W:</v>
      </c>
      <c r="J288" s="21">
        <v>720</v>
      </c>
      <c r="K288" s="21" t="str">
        <f t="shared" si="49"/>
        <v/>
      </c>
      <c r="L288" s="21"/>
      <c r="M288" s="22" t="s">
        <v>353</v>
      </c>
      <c r="N288" s="23" t="s">
        <v>198</v>
      </c>
      <c r="O288" s="24" t="s">
        <v>39</v>
      </c>
      <c r="P288" s="53" t="s">
        <v>217</v>
      </c>
      <c r="Q288" s="26" t="str">
        <f t="shared" si="50"/>
        <v>Panel Posterior Corte Sencillo_NM-180*180 / H:2200W:720 mm</v>
      </c>
    </row>
    <row r="289" spans="1:17" ht="20" customHeight="1" outlineLevel="1" x14ac:dyDescent="0.65">
      <c r="A289" s="14">
        <v>269</v>
      </c>
      <c r="B289" s="15" t="str">
        <f t="shared" si="46"/>
        <v>2280PaPCS_NM</v>
      </c>
      <c r="C289" s="16" t="s">
        <v>304</v>
      </c>
      <c r="D289" s="49" t="s">
        <v>430</v>
      </c>
      <c r="E289" s="49"/>
      <c r="F289" s="49"/>
      <c r="G289" s="19" t="str">
        <f t="shared" si="47"/>
        <v>H:</v>
      </c>
      <c r="H289" s="19">
        <v>2200</v>
      </c>
      <c r="I289" s="20" t="str">
        <f t="shared" si="48"/>
        <v>W:</v>
      </c>
      <c r="J289" s="21">
        <v>800</v>
      </c>
      <c r="K289" s="21" t="str">
        <f t="shared" si="49"/>
        <v/>
      </c>
      <c r="L289" s="21"/>
      <c r="M289" s="22" t="s">
        <v>353</v>
      </c>
      <c r="N289" s="23" t="s">
        <v>198</v>
      </c>
      <c r="O289" s="24" t="s">
        <v>39</v>
      </c>
      <c r="P289" s="53" t="s">
        <v>217</v>
      </c>
      <c r="Q289" s="26" t="str">
        <f t="shared" si="50"/>
        <v>Panel Posterior Corte Sencillo_NM-180*180 / H:2200W:800 mm</v>
      </c>
    </row>
    <row r="290" spans="1:17" ht="20" customHeight="1" outlineLevel="1" x14ac:dyDescent="0.65">
      <c r="A290" s="14">
        <v>270</v>
      </c>
      <c r="B290" s="15" t="str">
        <f t="shared" si="46"/>
        <v>2211PaPCS_NM</v>
      </c>
      <c r="C290" s="16" t="s">
        <v>304</v>
      </c>
      <c r="D290" s="49" t="s">
        <v>431</v>
      </c>
      <c r="E290" s="49"/>
      <c r="F290" s="49"/>
      <c r="G290" s="19" t="str">
        <f t="shared" si="47"/>
        <v>H:</v>
      </c>
      <c r="H290" s="19">
        <v>2200</v>
      </c>
      <c r="I290" s="20" t="str">
        <f t="shared" si="48"/>
        <v>W:</v>
      </c>
      <c r="J290" s="21">
        <v>1120</v>
      </c>
      <c r="K290" s="21" t="str">
        <f t="shared" si="49"/>
        <v/>
      </c>
      <c r="L290" s="21"/>
      <c r="M290" s="22" t="s">
        <v>353</v>
      </c>
      <c r="N290" s="23" t="s">
        <v>198</v>
      </c>
      <c r="O290" s="24" t="s">
        <v>39</v>
      </c>
      <c r="P290" s="53" t="s">
        <v>217</v>
      </c>
      <c r="Q290" s="26" t="str">
        <f t="shared" si="50"/>
        <v>Panel Posterior Corte Sencillo_NM-180*180 / H:2200W:1120 mm</v>
      </c>
    </row>
    <row r="291" spans="1:17" ht="20" customHeight="1" outlineLevel="1" x14ac:dyDescent="0.65">
      <c r="A291" s="14">
        <v>271</v>
      </c>
      <c r="B291" s="15" t="str">
        <f t="shared" si="46"/>
        <v>1840PaPCS_NP</v>
      </c>
      <c r="C291" s="16" t="s">
        <v>304</v>
      </c>
      <c r="D291" s="49" t="s">
        <v>432</v>
      </c>
      <c r="E291" s="49"/>
      <c r="F291" s="49"/>
      <c r="G291" s="19" t="str">
        <f t="shared" si="47"/>
        <v>H:</v>
      </c>
      <c r="H291" s="19">
        <v>1800</v>
      </c>
      <c r="I291" s="20" t="str">
        <f t="shared" si="48"/>
        <v>W:</v>
      </c>
      <c r="J291" s="21">
        <v>400</v>
      </c>
      <c r="K291" s="21" t="str">
        <f t="shared" si="49"/>
        <v/>
      </c>
      <c r="L291" s="21"/>
      <c r="M291" s="22" t="s">
        <v>353</v>
      </c>
      <c r="N291" s="23" t="s">
        <v>198</v>
      </c>
      <c r="O291" s="24" t="s">
        <v>39</v>
      </c>
      <c r="P291" s="53" t="s">
        <v>226</v>
      </c>
      <c r="Q291" s="26" t="str">
        <f t="shared" si="50"/>
        <v>Panel Posterior Corte Sencillo_NP-125*125 / H:1800W:400 mm</v>
      </c>
    </row>
    <row r="292" spans="1:17" ht="20" customHeight="1" outlineLevel="1" x14ac:dyDescent="0.65">
      <c r="A292" s="14">
        <v>272</v>
      </c>
      <c r="B292" s="15" t="str">
        <f t="shared" si="46"/>
        <v>1872PaPCS_NP</v>
      </c>
      <c r="C292" s="16" t="s">
        <v>304</v>
      </c>
      <c r="D292" s="49" t="s">
        <v>433</v>
      </c>
      <c r="E292" s="49"/>
      <c r="F292" s="49"/>
      <c r="G292" s="19" t="str">
        <f t="shared" si="47"/>
        <v>H:</v>
      </c>
      <c r="H292" s="19">
        <v>1800</v>
      </c>
      <c r="I292" s="20" t="str">
        <f t="shared" si="48"/>
        <v>W:</v>
      </c>
      <c r="J292" s="21">
        <v>720</v>
      </c>
      <c r="K292" s="21" t="str">
        <f t="shared" si="49"/>
        <v/>
      </c>
      <c r="L292" s="21"/>
      <c r="M292" s="22" t="s">
        <v>353</v>
      </c>
      <c r="N292" s="23" t="s">
        <v>198</v>
      </c>
      <c r="O292" s="24" t="s">
        <v>39</v>
      </c>
      <c r="P292" s="53" t="s">
        <v>226</v>
      </c>
      <c r="Q292" s="26" t="str">
        <f t="shared" si="50"/>
        <v>Panel Posterior Corte Sencillo_NP-125*125 / H:1800W:720 mm</v>
      </c>
    </row>
    <row r="293" spans="1:17" ht="20" customHeight="1" outlineLevel="1" x14ac:dyDescent="0.65">
      <c r="A293" s="14">
        <v>273</v>
      </c>
      <c r="B293" s="15" t="str">
        <f t="shared" si="46"/>
        <v>1811PaPCS_NP</v>
      </c>
      <c r="C293" s="16" t="s">
        <v>304</v>
      </c>
      <c r="D293" s="49" t="s">
        <v>434</v>
      </c>
      <c r="E293" s="49"/>
      <c r="F293" s="49"/>
      <c r="G293" s="19" t="str">
        <f t="shared" si="47"/>
        <v>H:</v>
      </c>
      <c r="H293" s="19">
        <v>1800</v>
      </c>
      <c r="I293" s="20" t="str">
        <f t="shared" si="48"/>
        <v>W:</v>
      </c>
      <c r="J293" s="21">
        <v>1120</v>
      </c>
      <c r="K293" s="21" t="str">
        <f t="shared" si="49"/>
        <v/>
      </c>
      <c r="L293" s="21"/>
      <c r="M293" s="22" t="s">
        <v>353</v>
      </c>
      <c r="N293" s="23" t="s">
        <v>198</v>
      </c>
      <c r="O293" s="24" t="s">
        <v>39</v>
      </c>
      <c r="P293" s="53" t="s">
        <v>226</v>
      </c>
      <c r="Q293" s="26" t="str">
        <f t="shared" si="50"/>
        <v>Panel Posterior Corte Sencillo_NP-125*125 / H:1800W:1120 mm</v>
      </c>
    </row>
    <row r="294" spans="1:17" ht="20" customHeight="1" outlineLevel="1" x14ac:dyDescent="0.65">
      <c r="A294" s="14">
        <v>274</v>
      </c>
      <c r="B294" s="15" t="str">
        <f t="shared" si="46"/>
        <v>2040PaPCS_NP</v>
      </c>
      <c r="C294" s="16" t="s">
        <v>304</v>
      </c>
      <c r="D294" s="49" t="s">
        <v>435</v>
      </c>
      <c r="E294" s="49"/>
      <c r="F294" s="49"/>
      <c r="G294" s="19" t="str">
        <f t="shared" si="47"/>
        <v>H:</v>
      </c>
      <c r="H294" s="19">
        <v>2000</v>
      </c>
      <c r="I294" s="20" t="str">
        <f t="shared" si="48"/>
        <v>W:</v>
      </c>
      <c r="J294" s="21">
        <v>400</v>
      </c>
      <c r="K294" s="21" t="str">
        <f t="shared" si="49"/>
        <v/>
      </c>
      <c r="L294" s="21"/>
      <c r="M294" s="22" t="s">
        <v>353</v>
      </c>
      <c r="N294" s="23" t="s">
        <v>198</v>
      </c>
      <c r="O294" s="24" t="s">
        <v>39</v>
      </c>
      <c r="P294" s="53" t="s">
        <v>226</v>
      </c>
      <c r="Q294" s="26" t="str">
        <f t="shared" si="50"/>
        <v>Panel Posterior Corte Sencillo_NP-125*125 / H:2000W:400 mm</v>
      </c>
    </row>
    <row r="295" spans="1:17" ht="20" customHeight="1" outlineLevel="1" x14ac:dyDescent="0.65">
      <c r="A295" s="14">
        <v>275</v>
      </c>
      <c r="B295" s="15" t="str">
        <f t="shared" si="46"/>
        <v>2072PaPCS_NP</v>
      </c>
      <c r="C295" s="16" t="s">
        <v>304</v>
      </c>
      <c r="D295" s="49" t="s">
        <v>436</v>
      </c>
      <c r="E295" s="49"/>
      <c r="F295" s="49"/>
      <c r="G295" s="19" t="str">
        <f t="shared" si="47"/>
        <v>H:</v>
      </c>
      <c r="H295" s="19">
        <v>2000</v>
      </c>
      <c r="I295" s="20" t="str">
        <f t="shared" si="48"/>
        <v>W:</v>
      </c>
      <c r="J295" s="21">
        <v>720</v>
      </c>
      <c r="K295" s="21" t="str">
        <f t="shared" si="49"/>
        <v/>
      </c>
      <c r="L295" s="21"/>
      <c r="M295" s="22" t="s">
        <v>353</v>
      </c>
      <c r="N295" s="23" t="s">
        <v>198</v>
      </c>
      <c r="O295" s="24" t="s">
        <v>39</v>
      </c>
      <c r="P295" s="53" t="s">
        <v>226</v>
      </c>
      <c r="Q295" s="26" t="str">
        <f t="shared" si="50"/>
        <v>Panel Posterior Corte Sencillo_NP-125*125 / H:2000W:720 mm</v>
      </c>
    </row>
    <row r="296" spans="1:17" ht="20" customHeight="1" outlineLevel="1" x14ac:dyDescent="0.65">
      <c r="A296" s="14">
        <v>276</v>
      </c>
      <c r="B296" s="15" t="str">
        <f t="shared" si="46"/>
        <v>2080PaPCS_NP</v>
      </c>
      <c r="C296" s="16" t="s">
        <v>304</v>
      </c>
      <c r="D296" s="49" t="s">
        <v>437</v>
      </c>
      <c r="E296" s="49"/>
      <c r="F296" s="49"/>
      <c r="G296" s="19" t="str">
        <f t="shared" si="47"/>
        <v>H:</v>
      </c>
      <c r="H296" s="19">
        <v>2000</v>
      </c>
      <c r="I296" s="20" t="str">
        <f t="shared" si="48"/>
        <v>W:</v>
      </c>
      <c r="J296" s="21">
        <v>800</v>
      </c>
      <c r="K296" s="21" t="str">
        <f t="shared" si="49"/>
        <v/>
      </c>
      <c r="L296" s="21"/>
      <c r="M296" s="22" t="s">
        <v>353</v>
      </c>
      <c r="N296" s="23" t="s">
        <v>198</v>
      </c>
      <c r="O296" s="24" t="s">
        <v>39</v>
      </c>
      <c r="P296" s="53" t="s">
        <v>226</v>
      </c>
      <c r="Q296" s="26" t="str">
        <f t="shared" si="50"/>
        <v>Panel Posterior Corte Sencillo_NP-125*125 / H:2000W:800 mm</v>
      </c>
    </row>
    <row r="297" spans="1:17" ht="20" customHeight="1" outlineLevel="1" x14ac:dyDescent="0.65">
      <c r="A297" s="14">
        <v>277</v>
      </c>
      <c r="B297" s="15" t="str">
        <f t="shared" si="46"/>
        <v>2011PaPCS_NP</v>
      </c>
      <c r="C297" s="16" t="s">
        <v>304</v>
      </c>
      <c r="D297" s="49" t="s">
        <v>438</v>
      </c>
      <c r="E297" s="49"/>
      <c r="F297" s="49"/>
      <c r="G297" s="19" t="str">
        <f t="shared" si="47"/>
        <v>H:</v>
      </c>
      <c r="H297" s="19">
        <v>2000</v>
      </c>
      <c r="I297" s="20" t="str">
        <f t="shared" si="48"/>
        <v>W:</v>
      </c>
      <c r="J297" s="21">
        <v>1120</v>
      </c>
      <c r="K297" s="21" t="str">
        <f t="shared" si="49"/>
        <v/>
      </c>
      <c r="L297" s="21"/>
      <c r="M297" s="22" t="s">
        <v>353</v>
      </c>
      <c r="N297" s="23" t="s">
        <v>198</v>
      </c>
      <c r="O297" s="24" t="s">
        <v>39</v>
      </c>
      <c r="P297" s="53" t="s">
        <v>226</v>
      </c>
      <c r="Q297" s="26" t="str">
        <f t="shared" si="50"/>
        <v>Panel Posterior Corte Sencillo_NP-125*125 / H:2000W:1120 mm</v>
      </c>
    </row>
    <row r="298" spans="1:17" ht="20" customHeight="1" outlineLevel="1" x14ac:dyDescent="0.65">
      <c r="A298" s="14">
        <v>278</v>
      </c>
      <c r="B298" s="15" t="str">
        <f t="shared" si="46"/>
        <v>2240PaPCS_NP</v>
      </c>
      <c r="C298" s="16" t="s">
        <v>304</v>
      </c>
      <c r="D298" s="49" t="s">
        <v>439</v>
      </c>
      <c r="E298" s="49"/>
      <c r="F298" s="49"/>
      <c r="G298" s="19" t="str">
        <f t="shared" si="47"/>
        <v>H:</v>
      </c>
      <c r="H298" s="19">
        <v>2200</v>
      </c>
      <c r="I298" s="20" t="str">
        <f t="shared" si="48"/>
        <v>W:</v>
      </c>
      <c r="J298" s="21">
        <v>400</v>
      </c>
      <c r="K298" s="21" t="str">
        <f t="shared" si="49"/>
        <v/>
      </c>
      <c r="L298" s="21"/>
      <c r="M298" s="22" t="s">
        <v>353</v>
      </c>
      <c r="N298" s="23" t="s">
        <v>198</v>
      </c>
      <c r="O298" s="24" t="s">
        <v>39</v>
      </c>
      <c r="P298" s="53" t="s">
        <v>226</v>
      </c>
      <c r="Q298" s="26" t="str">
        <f t="shared" si="50"/>
        <v>Panel Posterior Corte Sencillo_NP-125*125 / H:2200W:400 mm</v>
      </c>
    </row>
    <row r="299" spans="1:17" ht="20" customHeight="1" outlineLevel="1" x14ac:dyDescent="0.65">
      <c r="A299" s="14">
        <v>279</v>
      </c>
      <c r="B299" s="15" t="str">
        <f t="shared" si="46"/>
        <v>2272PaPCS_NP</v>
      </c>
      <c r="C299" s="16" t="s">
        <v>304</v>
      </c>
      <c r="D299" s="49" t="s">
        <v>440</v>
      </c>
      <c r="E299" s="49"/>
      <c r="F299" s="49"/>
      <c r="G299" s="19" t="str">
        <f t="shared" si="47"/>
        <v>H:</v>
      </c>
      <c r="H299" s="19">
        <v>2200</v>
      </c>
      <c r="I299" s="20" t="str">
        <f t="shared" si="48"/>
        <v>W:</v>
      </c>
      <c r="J299" s="21">
        <v>720</v>
      </c>
      <c r="K299" s="21" t="str">
        <f t="shared" si="49"/>
        <v/>
      </c>
      <c r="L299" s="21"/>
      <c r="M299" s="22" t="s">
        <v>353</v>
      </c>
      <c r="N299" s="23" t="s">
        <v>198</v>
      </c>
      <c r="O299" s="24" t="s">
        <v>39</v>
      </c>
      <c r="P299" s="53" t="s">
        <v>226</v>
      </c>
      <c r="Q299" s="26" t="str">
        <f t="shared" si="50"/>
        <v>Panel Posterior Corte Sencillo_NP-125*125 / H:2200W:720 mm</v>
      </c>
    </row>
    <row r="300" spans="1:17" ht="20" customHeight="1" outlineLevel="1" x14ac:dyDescent="0.65">
      <c r="A300" s="14">
        <v>280</v>
      </c>
      <c r="B300" s="15" t="str">
        <f t="shared" si="46"/>
        <v>2280PaPCS_NP</v>
      </c>
      <c r="C300" s="16" t="s">
        <v>304</v>
      </c>
      <c r="D300" s="49" t="s">
        <v>441</v>
      </c>
      <c r="E300" s="49"/>
      <c r="F300" s="49"/>
      <c r="G300" s="19" t="str">
        <f t="shared" si="47"/>
        <v>H:</v>
      </c>
      <c r="H300" s="19">
        <v>2200</v>
      </c>
      <c r="I300" s="20" t="str">
        <f t="shared" si="48"/>
        <v>W:</v>
      </c>
      <c r="J300" s="21">
        <v>800</v>
      </c>
      <c r="K300" s="21" t="str">
        <f t="shared" si="49"/>
        <v/>
      </c>
      <c r="L300" s="21"/>
      <c r="M300" s="22" t="s">
        <v>353</v>
      </c>
      <c r="N300" s="23" t="s">
        <v>198</v>
      </c>
      <c r="O300" s="24" t="s">
        <v>39</v>
      </c>
      <c r="P300" s="53" t="s">
        <v>226</v>
      </c>
      <c r="Q300" s="26" t="str">
        <f t="shared" si="50"/>
        <v>Panel Posterior Corte Sencillo_NP-125*125 / H:2200W:800 mm</v>
      </c>
    </row>
    <row r="301" spans="1:17" ht="20" customHeight="1" outlineLevel="1" x14ac:dyDescent="0.65">
      <c r="A301" s="14">
        <v>281</v>
      </c>
      <c r="B301" s="15" t="str">
        <f t="shared" si="46"/>
        <v>2211PaPCS_NP</v>
      </c>
      <c r="C301" s="16" t="s">
        <v>304</v>
      </c>
      <c r="D301" s="49" t="s">
        <v>442</v>
      </c>
      <c r="E301" s="49"/>
      <c r="F301" s="49"/>
      <c r="G301" s="19" t="str">
        <f t="shared" si="47"/>
        <v>H:</v>
      </c>
      <c r="H301" s="19">
        <v>2200</v>
      </c>
      <c r="I301" s="20" t="str">
        <f t="shared" si="48"/>
        <v>W:</v>
      </c>
      <c r="J301" s="21">
        <v>1120</v>
      </c>
      <c r="K301" s="21" t="str">
        <f t="shared" si="49"/>
        <v/>
      </c>
      <c r="L301" s="21"/>
      <c r="M301" s="22" t="s">
        <v>353</v>
      </c>
      <c r="N301" s="23" t="s">
        <v>198</v>
      </c>
      <c r="O301" s="24" t="s">
        <v>39</v>
      </c>
      <c r="P301" s="53" t="s">
        <v>226</v>
      </c>
      <c r="Q301" s="26" t="str">
        <f t="shared" si="50"/>
        <v>Panel Posterior Corte Sencillo_NP-125*125 / H:2200W:1120 mm</v>
      </c>
    </row>
    <row r="302" spans="1:17" ht="20" customHeight="1" x14ac:dyDescent="0.65">
      <c r="B302" s="45" t="str">
        <f t="shared" si="46"/>
        <v/>
      </c>
      <c r="C302" s="1"/>
      <c r="M302" s="1"/>
      <c r="N302" s="1"/>
      <c r="O302" s="1"/>
      <c r="P302" s="1"/>
      <c r="Q302" s="46"/>
    </row>
    <row r="303" spans="1:17" ht="20" customHeight="1" outlineLevel="1" x14ac:dyDescent="0.65">
      <c r="A303" s="14">
        <v>282</v>
      </c>
      <c r="B303" s="15" t="str">
        <f t="shared" si="46"/>
        <v>2040PaS</v>
      </c>
      <c r="C303" s="16" t="s">
        <v>304</v>
      </c>
      <c r="D303" s="48" t="s">
        <v>443</v>
      </c>
      <c r="E303" s="57"/>
      <c r="F303" s="57"/>
      <c r="G303" s="19" t="str">
        <f t="shared" si="47"/>
        <v/>
      </c>
      <c r="H303" s="58"/>
      <c r="I303" s="20" t="str">
        <f t="shared" si="48"/>
        <v>W:</v>
      </c>
      <c r="J303" s="20">
        <v>200</v>
      </c>
      <c r="K303" s="21" t="str">
        <f t="shared" si="49"/>
        <v>D:</v>
      </c>
      <c r="L303" s="21">
        <v>400</v>
      </c>
      <c r="M303" s="22" t="s">
        <v>50</v>
      </c>
      <c r="N303" s="23"/>
      <c r="O303" s="24"/>
      <c r="P303" s="25"/>
      <c r="Q303" s="26" t="str">
        <f t="shared" si="50"/>
        <v>Panel Superior / W:200D:400 mm</v>
      </c>
    </row>
    <row r="304" spans="1:17" ht="20" customHeight="1" outlineLevel="1" x14ac:dyDescent="0.65">
      <c r="A304" s="14">
        <v>283</v>
      </c>
      <c r="B304" s="15" t="str">
        <f t="shared" si="46"/>
        <v>2060PaS</v>
      </c>
      <c r="C304" s="16" t="s">
        <v>304</v>
      </c>
      <c r="D304" s="48" t="s">
        <v>444</v>
      </c>
      <c r="E304" s="57"/>
      <c r="F304" s="57"/>
      <c r="G304" s="19" t="str">
        <f t="shared" si="47"/>
        <v/>
      </c>
      <c r="H304" s="58"/>
      <c r="I304" s="20" t="str">
        <f t="shared" si="48"/>
        <v>W:</v>
      </c>
      <c r="J304" s="20">
        <v>200</v>
      </c>
      <c r="K304" s="21" t="str">
        <f t="shared" si="49"/>
        <v>D:</v>
      </c>
      <c r="L304" s="21">
        <v>600</v>
      </c>
      <c r="M304" s="22" t="s">
        <v>50</v>
      </c>
      <c r="N304" s="23"/>
      <c r="O304" s="24"/>
      <c r="P304" s="25"/>
      <c r="Q304" s="26" t="str">
        <f t="shared" si="50"/>
        <v>Panel Superior / W:200D:600 mm</v>
      </c>
    </row>
    <row r="305" spans="1:17" ht="20" customHeight="1" outlineLevel="1" x14ac:dyDescent="0.65">
      <c r="A305" s="14">
        <v>284</v>
      </c>
      <c r="B305" s="15" t="str">
        <f t="shared" si="46"/>
        <v>2010PaS</v>
      </c>
      <c r="C305" s="16" t="s">
        <v>304</v>
      </c>
      <c r="D305" s="48" t="s">
        <v>445</v>
      </c>
      <c r="E305" s="57"/>
      <c r="F305" s="57"/>
      <c r="G305" s="19" t="str">
        <f t="shared" si="47"/>
        <v/>
      </c>
      <c r="H305" s="58"/>
      <c r="I305" s="20" t="str">
        <f t="shared" si="48"/>
        <v>W:</v>
      </c>
      <c r="J305" s="20">
        <v>200</v>
      </c>
      <c r="K305" s="21" t="str">
        <f t="shared" si="49"/>
        <v>D:</v>
      </c>
      <c r="L305" s="21">
        <v>1000</v>
      </c>
      <c r="M305" s="22" t="s">
        <v>50</v>
      </c>
      <c r="N305" s="23"/>
      <c r="O305" s="24"/>
      <c r="P305" s="25"/>
      <c r="Q305" s="26" t="str">
        <f t="shared" si="50"/>
        <v>Panel Superior / W:200D:1000 mm</v>
      </c>
    </row>
    <row r="306" spans="1:17" ht="20" customHeight="1" outlineLevel="1" x14ac:dyDescent="0.65">
      <c r="A306" s="14">
        <v>285</v>
      </c>
      <c r="B306" s="15" t="str">
        <f t="shared" si="46"/>
        <v>4040PaS</v>
      </c>
      <c r="C306" s="16" t="s">
        <v>304</v>
      </c>
      <c r="D306" s="48" t="s">
        <v>446</v>
      </c>
      <c r="E306" s="57"/>
      <c r="F306" s="57"/>
      <c r="G306" s="19" t="str">
        <f t="shared" si="47"/>
        <v/>
      </c>
      <c r="H306" s="58"/>
      <c r="I306" s="20" t="str">
        <f t="shared" si="48"/>
        <v>W:</v>
      </c>
      <c r="J306" s="20">
        <v>400</v>
      </c>
      <c r="K306" s="21" t="str">
        <f t="shared" si="49"/>
        <v>D:</v>
      </c>
      <c r="L306" s="21">
        <v>400</v>
      </c>
      <c r="M306" s="22" t="s">
        <v>50</v>
      </c>
      <c r="N306" s="23"/>
      <c r="O306" s="24"/>
      <c r="P306" s="25"/>
      <c r="Q306" s="26" t="str">
        <f t="shared" si="50"/>
        <v>Panel Superior / W:400D:400 mm</v>
      </c>
    </row>
    <row r="307" spans="1:17" ht="20" customHeight="1" outlineLevel="1" x14ac:dyDescent="0.65">
      <c r="A307" s="14">
        <v>286</v>
      </c>
      <c r="B307" s="15" t="str">
        <f t="shared" si="46"/>
        <v>4060PaS</v>
      </c>
      <c r="C307" s="16" t="s">
        <v>304</v>
      </c>
      <c r="D307" s="48" t="s">
        <v>447</v>
      </c>
      <c r="E307" s="57"/>
      <c r="F307" s="57"/>
      <c r="G307" s="19" t="str">
        <f t="shared" si="47"/>
        <v/>
      </c>
      <c r="H307" s="58"/>
      <c r="I307" s="20" t="str">
        <f t="shared" si="48"/>
        <v>W:</v>
      </c>
      <c r="J307" s="20">
        <v>400</v>
      </c>
      <c r="K307" s="21" t="str">
        <f t="shared" si="49"/>
        <v>D:</v>
      </c>
      <c r="L307" s="21">
        <v>600</v>
      </c>
      <c r="M307" s="22" t="s">
        <v>50</v>
      </c>
      <c r="N307" s="23"/>
      <c r="O307" s="24"/>
      <c r="P307" s="25"/>
      <c r="Q307" s="26" t="str">
        <f t="shared" si="50"/>
        <v>Panel Superior / W:400D:600 mm</v>
      </c>
    </row>
    <row r="308" spans="1:17" ht="20" customHeight="1" outlineLevel="1" x14ac:dyDescent="0.65">
      <c r="A308" s="14">
        <v>287</v>
      </c>
      <c r="B308" s="15" t="str">
        <f t="shared" si="46"/>
        <v>4010PaS</v>
      </c>
      <c r="C308" s="16" t="s">
        <v>304</v>
      </c>
      <c r="D308" s="48" t="s">
        <v>448</v>
      </c>
      <c r="E308" s="57"/>
      <c r="F308" s="57"/>
      <c r="G308" s="19" t="str">
        <f t="shared" si="47"/>
        <v/>
      </c>
      <c r="H308" s="58"/>
      <c r="I308" s="20" t="str">
        <f t="shared" si="48"/>
        <v>W:</v>
      </c>
      <c r="J308" s="20">
        <v>400</v>
      </c>
      <c r="K308" s="21" t="str">
        <f t="shared" si="49"/>
        <v>D:</v>
      </c>
      <c r="L308" s="21">
        <v>1000</v>
      </c>
      <c r="M308" s="22" t="s">
        <v>50</v>
      </c>
      <c r="N308" s="23"/>
      <c r="O308" s="24"/>
      <c r="P308" s="25"/>
      <c r="Q308" s="26" t="str">
        <f t="shared" si="50"/>
        <v>Panel Superior / W:400D:1000 mm</v>
      </c>
    </row>
    <row r="309" spans="1:17" ht="20" customHeight="1" outlineLevel="1" x14ac:dyDescent="0.65">
      <c r="A309" s="14">
        <v>288</v>
      </c>
      <c r="B309" s="15" t="str">
        <f t="shared" si="46"/>
        <v>7240PaS</v>
      </c>
      <c r="C309" s="16" t="s">
        <v>304</v>
      </c>
      <c r="D309" s="48" t="s">
        <v>449</v>
      </c>
      <c r="E309" s="57"/>
      <c r="F309" s="57"/>
      <c r="G309" s="19" t="str">
        <f t="shared" si="47"/>
        <v/>
      </c>
      <c r="H309" s="58"/>
      <c r="I309" s="20" t="str">
        <f t="shared" si="48"/>
        <v>W:</v>
      </c>
      <c r="J309" s="20">
        <v>720</v>
      </c>
      <c r="K309" s="21" t="str">
        <f t="shared" si="49"/>
        <v>D:</v>
      </c>
      <c r="L309" s="21">
        <v>400</v>
      </c>
      <c r="M309" s="22" t="s">
        <v>50</v>
      </c>
      <c r="N309" s="23"/>
      <c r="O309" s="24"/>
      <c r="P309" s="25"/>
      <c r="Q309" s="26" t="str">
        <f t="shared" si="50"/>
        <v>Panel Superior / W:720D:400 mm</v>
      </c>
    </row>
    <row r="310" spans="1:17" ht="20" customHeight="1" outlineLevel="1" x14ac:dyDescent="0.65">
      <c r="A310" s="14">
        <v>289</v>
      </c>
      <c r="B310" s="15" t="str">
        <f t="shared" si="46"/>
        <v>7260PaS</v>
      </c>
      <c r="C310" s="16" t="s">
        <v>304</v>
      </c>
      <c r="D310" s="48" t="s">
        <v>450</v>
      </c>
      <c r="E310" s="57"/>
      <c r="F310" s="57"/>
      <c r="G310" s="19" t="str">
        <f t="shared" si="47"/>
        <v/>
      </c>
      <c r="H310" s="58"/>
      <c r="I310" s="20" t="str">
        <f t="shared" si="48"/>
        <v>W:</v>
      </c>
      <c r="J310" s="20">
        <v>720</v>
      </c>
      <c r="K310" s="21" t="str">
        <f t="shared" si="49"/>
        <v>D:</v>
      </c>
      <c r="L310" s="21">
        <v>600</v>
      </c>
      <c r="M310" s="22" t="s">
        <v>50</v>
      </c>
      <c r="N310" s="23"/>
      <c r="O310" s="24"/>
      <c r="P310" s="25"/>
      <c r="Q310" s="26" t="str">
        <f t="shared" si="50"/>
        <v>Panel Superior / W:720D:600 mm</v>
      </c>
    </row>
    <row r="311" spans="1:17" ht="20" customHeight="1" outlineLevel="1" x14ac:dyDescent="0.65">
      <c r="A311" s="14">
        <v>290</v>
      </c>
      <c r="B311" s="15" t="str">
        <f t="shared" si="46"/>
        <v>7210PaS</v>
      </c>
      <c r="C311" s="16" t="s">
        <v>304</v>
      </c>
      <c r="D311" s="48" t="s">
        <v>451</v>
      </c>
      <c r="E311" s="57"/>
      <c r="F311" s="57"/>
      <c r="G311" s="19" t="str">
        <f t="shared" si="47"/>
        <v/>
      </c>
      <c r="H311" s="58"/>
      <c r="I311" s="20" t="str">
        <f t="shared" si="48"/>
        <v>W:</v>
      </c>
      <c r="J311" s="20">
        <v>720</v>
      </c>
      <c r="K311" s="21" t="str">
        <f t="shared" si="49"/>
        <v>D:</v>
      </c>
      <c r="L311" s="21">
        <v>1000</v>
      </c>
      <c r="M311" s="22" t="s">
        <v>50</v>
      </c>
      <c r="N311" s="23"/>
      <c r="O311" s="24"/>
      <c r="P311" s="25"/>
      <c r="Q311" s="26" t="str">
        <f t="shared" si="50"/>
        <v>Panel Superior / W:720D:1000 mm</v>
      </c>
    </row>
    <row r="312" spans="1:17" ht="20" customHeight="1" outlineLevel="1" x14ac:dyDescent="0.65">
      <c r="A312" s="14">
        <v>291</v>
      </c>
      <c r="B312" s="15" t="str">
        <f t="shared" si="46"/>
        <v>8060PaS</v>
      </c>
      <c r="C312" s="16" t="s">
        <v>304</v>
      </c>
      <c r="D312" s="48" t="s">
        <v>452</v>
      </c>
      <c r="E312" s="57"/>
      <c r="F312" s="57"/>
      <c r="G312" s="19" t="str">
        <f t="shared" si="47"/>
        <v/>
      </c>
      <c r="H312" s="58"/>
      <c r="I312" s="20" t="str">
        <f t="shared" si="48"/>
        <v>W:</v>
      </c>
      <c r="J312" s="20">
        <v>800</v>
      </c>
      <c r="K312" s="21" t="str">
        <f t="shared" si="49"/>
        <v>D:</v>
      </c>
      <c r="L312" s="21">
        <v>600</v>
      </c>
      <c r="M312" s="22" t="s">
        <v>50</v>
      </c>
      <c r="N312" s="23"/>
      <c r="O312" s="24"/>
      <c r="P312" s="25"/>
      <c r="Q312" s="26" t="str">
        <f t="shared" si="50"/>
        <v>Panel Superior / W:800D:600 mm</v>
      </c>
    </row>
    <row r="313" spans="1:17" ht="20" customHeight="1" outlineLevel="1" x14ac:dyDescent="0.65">
      <c r="A313" s="14">
        <v>292</v>
      </c>
      <c r="B313" s="15" t="str">
        <f t="shared" si="46"/>
        <v>8010PaS</v>
      </c>
      <c r="C313" s="16" t="s">
        <v>304</v>
      </c>
      <c r="D313" s="48" t="s">
        <v>453</v>
      </c>
      <c r="E313" s="57"/>
      <c r="F313" s="57"/>
      <c r="G313" s="19" t="str">
        <f t="shared" si="47"/>
        <v/>
      </c>
      <c r="H313" s="58"/>
      <c r="I313" s="20" t="str">
        <f t="shared" si="48"/>
        <v>W:</v>
      </c>
      <c r="J313" s="20">
        <v>800</v>
      </c>
      <c r="K313" s="21" t="str">
        <f t="shared" si="49"/>
        <v>D:</v>
      </c>
      <c r="L313" s="21">
        <v>1000</v>
      </c>
      <c r="M313" s="22" t="s">
        <v>50</v>
      </c>
      <c r="N313" s="23"/>
      <c r="O313" s="24"/>
      <c r="P313" s="25"/>
      <c r="Q313" s="26" t="str">
        <f t="shared" si="50"/>
        <v>Panel Superior / W:800D:1000 mm</v>
      </c>
    </row>
    <row r="314" spans="1:17" ht="20" customHeight="1" outlineLevel="1" x14ac:dyDescent="0.65">
      <c r="A314" s="14">
        <v>293</v>
      </c>
      <c r="B314" s="15" t="str">
        <f t="shared" si="46"/>
        <v>1140PaS</v>
      </c>
      <c r="C314" s="16" t="s">
        <v>304</v>
      </c>
      <c r="D314" s="48" t="s">
        <v>454</v>
      </c>
      <c r="E314" s="57"/>
      <c r="F314" s="57"/>
      <c r="G314" s="19" t="str">
        <f t="shared" si="47"/>
        <v/>
      </c>
      <c r="H314" s="58"/>
      <c r="I314" s="20" t="str">
        <f t="shared" si="48"/>
        <v>W:</v>
      </c>
      <c r="J314" s="20">
        <v>1120</v>
      </c>
      <c r="K314" s="21" t="str">
        <f t="shared" si="49"/>
        <v>D:</v>
      </c>
      <c r="L314" s="21">
        <v>400</v>
      </c>
      <c r="M314" s="22" t="s">
        <v>50</v>
      </c>
      <c r="N314" s="23"/>
      <c r="O314" s="24"/>
      <c r="P314" s="25"/>
      <c r="Q314" s="26" t="str">
        <f t="shared" si="50"/>
        <v>Panel Superior / W:1120D:400 mm</v>
      </c>
    </row>
    <row r="315" spans="1:17" ht="20" customHeight="1" outlineLevel="1" x14ac:dyDescent="0.65">
      <c r="A315" s="14">
        <v>294</v>
      </c>
      <c r="B315" s="15" t="str">
        <f t="shared" si="46"/>
        <v>1160PaS</v>
      </c>
      <c r="C315" s="16" t="s">
        <v>304</v>
      </c>
      <c r="D315" s="48" t="s">
        <v>455</v>
      </c>
      <c r="E315" s="57"/>
      <c r="F315" s="57"/>
      <c r="G315" s="19" t="str">
        <f t="shared" si="47"/>
        <v/>
      </c>
      <c r="H315" s="58"/>
      <c r="I315" s="20" t="str">
        <f t="shared" si="48"/>
        <v>W:</v>
      </c>
      <c r="J315" s="20">
        <v>1120</v>
      </c>
      <c r="K315" s="21" t="str">
        <f t="shared" si="49"/>
        <v>D:</v>
      </c>
      <c r="L315" s="21">
        <v>600</v>
      </c>
      <c r="M315" s="22" t="s">
        <v>50</v>
      </c>
      <c r="N315" s="23"/>
      <c r="O315" s="24"/>
      <c r="P315" s="25"/>
      <c r="Q315" s="26" t="str">
        <f t="shared" si="50"/>
        <v>Panel Superior / W:1120D:600 mm</v>
      </c>
    </row>
    <row r="316" spans="1:17" ht="20" customHeight="1" outlineLevel="1" x14ac:dyDescent="0.65">
      <c r="A316" s="14">
        <v>295</v>
      </c>
      <c r="B316" s="15" t="str">
        <f t="shared" si="46"/>
        <v>1110PaS</v>
      </c>
      <c r="C316" s="16" t="s">
        <v>304</v>
      </c>
      <c r="D316" s="48" t="s">
        <v>456</v>
      </c>
      <c r="E316" s="57"/>
      <c r="F316" s="57"/>
      <c r="G316" s="19" t="str">
        <f t="shared" si="47"/>
        <v/>
      </c>
      <c r="H316" s="58"/>
      <c r="I316" s="20" t="str">
        <f t="shared" si="48"/>
        <v>W:</v>
      </c>
      <c r="J316" s="20">
        <v>1120</v>
      </c>
      <c r="K316" s="21" t="str">
        <f t="shared" si="49"/>
        <v>D:</v>
      </c>
      <c r="L316" s="21">
        <v>1000</v>
      </c>
      <c r="M316" s="22" t="s">
        <v>50</v>
      </c>
      <c r="N316" s="23"/>
      <c r="O316" s="24"/>
      <c r="P316" s="25"/>
      <c r="Q316" s="26" t="str">
        <f t="shared" si="50"/>
        <v>Panel Superior / W:1120D:1000 mm</v>
      </c>
    </row>
    <row r="317" spans="1:17" ht="20" customHeight="1" x14ac:dyDescent="0.65">
      <c r="B317" s="45" t="str">
        <f t="shared" si="46"/>
        <v/>
      </c>
      <c r="C317" s="1"/>
      <c r="M317" s="1"/>
      <c r="N317" s="1"/>
      <c r="O317" s="1"/>
      <c r="P317" s="1"/>
      <c r="Q317" s="46"/>
    </row>
    <row r="318" spans="1:17" ht="20" customHeight="1" outlineLevel="1" x14ac:dyDescent="0.65">
      <c r="A318" s="14">
        <v>296</v>
      </c>
      <c r="B318" s="15" t="str">
        <f t="shared" si="46"/>
        <v>2040PaI</v>
      </c>
      <c r="C318" s="16" t="s">
        <v>304</v>
      </c>
      <c r="D318" s="48" t="s">
        <v>457</v>
      </c>
      <c r="E318" s="57"/>
      <c r="F318" s="57"/>
      <c r="G318" s="19" t="str">
        <f t="shared" si="47"/>
        <v/>
      </c>
      <c r="H318" s="58"/>
      <c r="I318" s="20" t="str">
        <f t="shared" si="48"/>
        <v>W:</v>
      </c>
      <c r="J318" s="20">
        <v>200</v>
      </c>
      <c r="K318" s="21" t="str">
        <f t="shared" si="49"/>
        <v>D:</v>
      </c>
      <c r="L318" s="21">
        <v>400</v>
      </c>
      <c r="M318" s="22" t="s">
        <v>69</v>
      </c>
      <c r="N318" s="23"/>
      <c r="O318" s="24"/>
      <c r="P318" s="25"/>
      <c r="Q318" s="26" t="str">
        <f t="shared" si="50"/>
        <v>Panel Inferior / W:200D:400 mm</v>
      </c>
    </row>
    <row r="319" spans="1:17" ht="20" customHeight="1" outlineLevel="1" x14ac:dyDescent="0.65">
      <c r="A319" s="14">
        <v>297</v>
      </c>
      <c r="B319" s="15" t="str">
        <f t="shared" si="46"/>
        <v>2060PaI</v>
      </c>
      <c r="C319" s="16" t="s">
        <v>304</v>
      </c>
      <c r="D319" s="48" t="s">
        <v>458</v>
      </c>
      <c r="E319" s="57"/>
      <c r="F319" s="57"/>
      <c r="G319" s="19" t="str">
        <f t="shared" si="47"/>
        <v/>
      </c>
      <c r="H319" s="58"/>
      <c r="I319" s="20" t="str">
        <f t="shared" si="48"/>
        <v>W:</v>
      </c>
      <c r="J319" s="20">
        <v>200</v>
      </c>
      <c r="K319" s="21" t="str">
        <f t="shared" si="49"/>
        <v>D:</v>
      </c>
      <c r="L319" s="21">
        <v>600</v>
      </c>
      <c r="M319" s="22" t="s">
        <v>69</v>
      </c>
      <c r="N319" s="23"/>
      <c r="O319" s="24"/>
      <c r="P319" s="25"/>
      <c r="Q319" s="26" t="str">
        <f t="shared" si="50"/>
        <v>Panel Inferior / W:200D:600 mm</v>
      </c>
    </row>
    <row r="320" spans="1:17" ht="20" customHeight="1" outlineLevel="1" x14ac:dyDescent="0.65">
      <c r="A320" s="14">
        <v>298</v>
      </c>
      <c r="B320" s="15" t="str">
        <f t="shared" si="46"/>
        <v>2010PaI</v>
      </c>
      <c r="C320" s="16" t="s">
        <v>304</v>
      </c>
      <c r="D320" s="48" t="s">
        <v>459</v>
      </c>
      <c r="E320" s="57"/>
      <c r="F320" s="57"/>
      <c r="G320" s="19" t="str">
        <f t="shared" si="47"/>
        <v/>
      </c>
      <c r="H320" s="58"/>
      <c r="I320" s="20" t="str">
        <f t="shared" si="48"/>
        <v>W:</v>
      </c>
      <c r="J320" s="20">
        <v>200</v>
      </c>
      <c r="K320" s="21" t="str">
        <f t="shared" si="49"/>
        <v>D:</v>
      </c>
      <c r="L320" s="21">
        <v>1000</v>
      </c>
      <c r="M320" s="22" t="s">
        <v>69</v>
      </c>
      <c r="N320" s="23"/>
      <c r="O320" s="24"/>
      <c r="P320" s="25"/>
      <c r="Q320" s="26" t="str">
        <f t="shared" si="50"/>
        <v>Panel Inferior / W:200D:1000 mm</v>
      </c>
    </row>
    <row r="321" spans="1:17" ht="20" customHeight="1" outlineLevel="1" x14ac:dyDescent="0.65">
      <c r="A321" s="14">
        <v>299</v>
      </c>
      <c r="B321" s="15" t="str">
        <f t="shared" si="46"/>
        <v>4040PaI</v>
      </c>
      <c r="C321" s="16" t="s">
        <v>304</v>
      </c>
      <c r="D321" s="48" t="s">
        <v>460</v>
      </c>
      <c r="E321" s="57"/>
      <c r="F321" s="57"/>
      <c r="G321" s="19" t="str">
        <f t="shared" si="47"/>
        <v/>
      </c>
      <c r="H321" s="58"/>
      <c r="I321" s="20" t="str">
        <f t="shared" si="48"/>
        <v>W:</v>
      </c>
      <c r="J321" s="20">
        <v>400</v>
      </c>
      <c r="K321" s="21" t="str">
        <f t="shared" si="49"/>
        <v>D:</v>
      </c>
      <c r="L321" s="21">
        <v>400</v>
      </c>
      <c r="M321" s="22" t="s">
        <v>69</v>
      </c>
      <c r="N321" s="23"/>
      <c r="O321" s="24"/>
      <c r="P321" s="25"/>
      <c r="Q321" s="26" t="str">
        <f t="shared" si="50"/>
        <v>Panel Inferior / W:400D:400 mm</v>
      </c>
    </row>
    <row r="322" spans="1:17" ht="20" customHeight="1" outlineLevel="1" x14ac:dyDescent="0.65">
      <c r="A322" s="14">
        <v>300</v>
      </c>
      <c r="B322" s="15" t="str">
        <f t="shared" si="46"/>
        <v>4060PaI</v>
      </c>
      <c r="C322" s="16" t="s">
        <v>304</v>
      </c>
      <c r="D322" s="48" t="s">
        <v>461</v>
      </c>
      <c r="E322" s="57"/>
      <c r="F322" s="57"/>
      <c r="G322" s="19" t="str">
        <f t="shared" si="47"/>
        <v/>
      </c>
      <c r="H322" s="58"/>
      <c r="I322" s="20" t="str">
        <f t="shared" si="48"/>
        <v>W:</v>
      </c>
      <c r="J322" s="20">
        <v>400</v>
      </c>
      <c r="K322" s="21" t="str">
        <f t="shared" si="49"/>
        <v>D:</v>
      </c>
      <c r="L322" s="21">
        <v>600</v>
      </c>
      <c r="M322" s="22" t="s">
        <v>69</v>
      </c>
      <c r="N322" s="23"/>
      <c r="O322" s="24"/>
      <c r="P322" s="25"/>
      <c r="Q322" s="26" t="str">
        <f t="shared" si="50"/>
        <v>Panel Inferior / W:400D:600 mm</v>
      </c>
    </row>
    <row r="323" spans="1:17" ht="20" customHeight="1" outlineLevel="1" x14ac:dyDescent="0.65">
      <c r="A323" s="14">
        <v>301</v>
      </c>
      <c r="B323" s="15" t="str">
        <f t="shared" si="46"/>
        <v>4010PaI</v>
      </c>
      <c r="C323" s="16" t="s">
        <v>304</v>
      </c>
      <c r="D323" s="48" t="s">
        <v>462</v>
      </c>
      <c r="E323" s="57"/>
      <c r="F323" s="57"/>
      <c r="G323" s="19" t="str">
        <f t="shared" si="47"/>
        <v/>
      </c>
      <c r="H323" s="58"/>
      <c r="I323" s="20" t="str">
        <f t="shared" si="48"/>
        <v>W:</v>
      </c>
      <c r="J323" s="20">
        <v>400</v>
      </c>
      <c r="K323" s="21" t="str">
        <f t="shared" si="49"/>
        <v>D:</v>
      </c>
      <c r="L323" s="21">
        <v>1000</v>
      </c>
      <c r="M323" s="22" t="s">
        <v>69</v>
      </c>
      <c r="N323" s="23"/>
      <c r="O323" s="24"/>
      <c r="P323" s="25"/>
      <c r="Q323" s="26" t="str">
        <f t="shared" si="50"/>
        <v>Panel Inferior / W:400D:1000 mm</v>
      </c>
    </row>
    <row r="324" spans="1:17" ht="20" customHeight="1" outlineLevel="1" x14ac:dyDescent="0.65">
      <c r="A324" s="14">
        <v>302</v>
      </c>
      <c r="B324" s="15" t="str">
        <f t="shared" si="46"/>
        <v>7240PaI</v>
      </c>
      <c r="C324" s="16" t="s">
        <v>304</v>
      </c>
      <c r="D324" s="48" t="s">
        <v>463</v>
      </c>
      <c r="E324" s="57"/>
      <c r="F324" s="57"/>
      <c r="G324" s="19" t="str">
        <f t="shared" si="47"/>
        <v/>
      </c>
      <c r="H324" s="58"/>
      <c r="I324" s="20" t="str">
        <f t="shared" si="48"/>
        <v>W:</v>
      </c>
      <c r="J324" s="20">
        <v>720</v>
      </c>
      <c r="K324" s="21" t="str">
        <f t="shared" si="49"/>
        <v>D:</v>
      </c>
      <c r="L324" s="21">
        <v>400</v>
      </c>
      <c r="M324" s="22" t="s">
        <v>69</v>
      </c>
      <c r="N324" s="23"/>
      <c r="O324" s="24"/>
      <c r="P324" s="25"/>
      <c r="Q324" s="26" t="str">
        <f t="shared" si="50"/>
        <v>Panel Inferior / W:720D:400 mm</v>
      </c>
    </row>
    <row r="325" spans="1:17" ht="20" customHeight="1" outlineLevel="1" x14ac:dyDescent="0.65">
      <c r="A325" s="14">
        <v>303</v>
      </c>
      <c r="B325" s="15" t="str">
        <f t="shared" si="46"/>
        <v>7260PaI</v>
      </c>
      <c r="C325" s="16" t="s">
        <v>304</v>
      </c>
      <c r="D325" s="48" t="s">
        <v>464</v>
      </c>
      <c r="E325" s="57"/>
      <c r="F325" s="57"/>
      <c r="G325" s="19" t="str">
        <f t="shared" si="47"/>
        <v/>
      </c>
      <c r="H325" s="58"/>
      <c r="I325" s="20" t="str">
        <f t="shared" si="48"/>
        <v>W:</v>
      </c>
      <c r="J325" s="20">
        <v>720</v>
      </c>
      <c r="K325" s="21" t="str">
        <f t="shared" si="49"/>
        <v>D:</v>
      </c>
      <c r="L325" s="21">
        <v>600</v>
      </c>
      <c r="M325" s="22" t="s">
        <v>69</v>
      </c>
      <c r="N325" s="23"/>
      <c r="O325" s="24"/>
      <c r="P325" s="25"/>
      <c r="Q325" s="26" t="str">
        <f t="shared" si="50"/>
        <v>Panel Inferior / W:720D:600 mm</v>
      </c>
    </row>
    <row r="326" spans="1:17" ht="20" customHeight="1" outlineLevel="1" x14ac:dyDescent="0.65">
      <c r="A326" s="14">
        <v>304</v>
      </c>
      <c r="B326" s="15" t="str">
        <f t="shared" si="46"/>
        <v>7210PaI</v>
      </c>
      <c r="C326" s="16" t="s">
        <v>304</v>
      </c>
      <c r="D326" s="48" t="s">
        <v>465</v>
      </c>
      <c r="E326" s="57"/>
      <c r="F326" s="57"/>
      <c r="G326" s="19" t="str">
        <f t="shared" si="47"/>
        <v/>
      </c>
      <c r="H326" s="58"/>
      <c r="I326" s="20" t="str">
        <f t="shared" si="48"/>
        <v>W:</v>
      </c>
      <c r="J326" s="20">
        <v>720</v>
      </c>
      <c r="K326" s="21" t="str">
        <f t="shared" si="49"/>
        <v>D:</v>
      </c>
      <c r="L326" s="21">
        <v>1000</v>
      </c>
      <c r="M326" s="22" t="s">
        <v>69</v>
      </c>
      <c r="N326" s="23"/>
      <c r="O326" s="24"/>
      <c r="P326" s="25"/>
      <c r="Q326" s="26" t="str">
        <f t="shared" si="50"/>
        <v>Panel Inferior / W:720D:1000 mm</v>
      </c>
    </row>
    <row r="327" spans="1:17" ht="20" customHeight="1" outlineLevel="1" x14ac:dyDescent="0.65">
      <c r="A327" s="14">
        <v>305</v>
      </c>
      <c r="B327" s="15" t="str">
        <f t="shared" si="46"/>
        <v>8060PaI</v>
      </c>
      <c r="C327" s="16" t="s">
        <v>304</v>
      </c>
      <c r="D327" s="48" t="s">
        <v>466</v>
      </c>
      <c r="E327" s="57"/>
      <c r="F327" s="57"/>
      <c r="G327" s="19" t="str">
        <f t="shared" si="47"/>
        <v/>
      </c>
      <c r="H327" s="58"/>
      <c r="I327" s="20" t="str">
        <f t="shared" si="48"/>
        <v>W:</v>
      </c>
      <c r="J327" s="20">
        <v>800</v>
      </c>
      <c r="K327" s="21" t="str">
        <f t="shared" si="49"/>
        <v>D:</v>
      </c>
      <c r="L327" s="21">
        <v>600</v>
      </c>
      <c r="M327" s="22" t="s">
        <v>69</v>
      </c>
      <c r="N327" s="23"/>
      <c r="O327" s="24"/>
      <c r="P327" s="25"/>
      <c r="Q327" s="26" t="str">
        <f t="shared" si="50"/>
        <v>Panel Inferior / W:800D:600 mm</v>
      </c>
    </row>
    <row r="328" spans="1:17" ht="20" customHeight="1" outlineLevel="1" x14ac:dyDescent="0.65">
      <c r="A328" s="14">
        <v>306</v>
      </c>
      <c r="B328" s="15" t="str">
        <f t="shared" si="46"/>
        <v>8010PaI</v>
      </c>
      <c r="C328" s="16" t="s">
        <v>304</v>
      </c>
      <c r="D328" s="48" t="s">
        <v>467</v>
      </c>
      <c r="E328" s="57"/>
      <c r="F328" s="57"/>
      <c r="G328" s="19" t="str">
        <f t="shared" si="47"/>
        <v/>
      </c>
      <c r="H328" s="58"/>
      <c r="I328" s="20" t="str">
        <f t="shared" si="48"/>
        <v>W:</v>
      </c>
      <c r="J328" s="20">
        <v>800</v>
      </c>
      <c r="K328" s="21" t="str">
        <f t="shared" si="49"/>
        <v>D:</v>
      </c>
      <c r="L328" s="21">
        <v>1000</v>
      </c>
      <c r="M328" s="22" t="s">
        <v>69</v>
      </c>
      <c r="N328" s="23"/>
      <c r="O328" s="24"/>
      <c r="P328" s="25"/>
      <c r="Q328" s="26" t="str">
        <f t="shared" si="50"/>
        <v>Panel Inferior / W:800D:1000 mm</v>
      </c>
    </row>
    <row r="329" spans="1:17" ht="20" customHeight="1" outlineLevel="1" x14ac:dyDescent="0.65">
      <c r="A329" s="14">
        <v>307</v>
      </c>
      <c r="B329" s="15" t="str">
        <f t="shared" si="46"/>
        <v>1140PaI</v>
      </c>
      <c r="C329" s="16" t="s">
        <v>304</v>
      </c>
      <c r="D329" s="48" t="s">
        <v>468</v>
      </c>
      <c r="E329" s="57"/>
      <c r="F329" s="57"/>
      <c r="G329" s="19" t="str">
        <f t="shared" si="47"/>
        <v/>
      </c>
      <c r="H329" s="58"/>
      <c r="I329" s="20" t="str">
        <f t="shared" si="48"/>
        <v>W:</v>
      </c>
      <c r="J329" s="20">
        <v>1120</v>
      </c>
      <c r="K329" s="21" t="str">
        <f t="shared" si="49"/>
        <v>D:</v>
      </c>
      <c r="L329" s="21">
        <v>400</v>
      </c>
      <c r="M329" s="22" t="s">
        <v>69</v>
      </c>
      <c r="N329" s="23"/>
      <c r="O329" s="24"/>
      <c r="P329" s="25"/>
      <c r="Q329" s="26" t="str">
        <f t="shared" si="50"/>
        <v>Panel Inferior / W:1120D:400 mm</v>
      </c>
    </row>
    <row r="330" spans="1:17" ht="20" customHeight="1" outlineLevel="1" x14ac:dyDescent="0.65">
      <c r="A330" s="14">
        <v>308</v>
      </c>
      <c r="B330" s="15" t="str">
        <f t="shared" si="46"/>
        <v>1160PaI</v>
      </c>
      <c r="C330" s="16" t="s">
        <v>304</v>
      </c>
      <c r="D330" s="48" t="s">
        <v>469</v>
      </c>
      <c r="E330" s="57"/>
      <c r="F330" s="57"/>
      <c r="G330" s="19" t="str">
        <f t="shared" si="47"/>
        <v/>
      </c>
      <c r="H330" s="58"/>
      <c r="I330" s="20" t="str">
        <f t="shared" si="48"/>
        <v>W:</v>
      </c>
      <c r="J330" s="20">
        <v>1120</v>
      </c>
      <c r="K330" s="21" t="str">
        <f t="shared" si="49"/>
        <v>D:</v>
      </c>
      <c r="L330" s="21">
        <v>600</v>
      </c>
      <c r="M330" s="22" t="s">
        <v>69</v>
      </c>
      <c r="N330" s="23"/>
      <c r="O330" s="24"/>
      <c r="P330" s="25"/>
      <c r="Q330" s="26" t="str">
        <f t="shared" si="50"/>
        <v>Panel Inferior / W:1120D:600 mm</v>
      </c>
    </row>
    <row r="331" spans="1:17" ht="20" customHeight="1" outlineLevel="1" x14ac:dyDescent="0.65">
      <c r="A331" s="14">
        <v>309</v>
      </c>
      <c r="B331" s="15" t="str">
        <f t="shared" si="46"/>
        <v>1110PaI</v>
      </c>
      <c r="C331" s="16" t="s">
        <v>304</v>
      </c>
      <c r="D331" s="48" t="s">
        <v>470</v>
      </c>
      <c r="E331" s="57"/>
      <c r="F331" s="57"/>
      <c r="G331" s="19" t="str">
        <f t="shared" si="47"/>
        <v/>
      </c>
      <c r="H331" s="58"/>
      <c r="I331" s="20" t="str">
        <f t="shared" si="48"/>
        <v>W:</v>
      </c>
      <c r="J331" s="20">
        <v>1120</v>
      </c>
      <c r="K331" s="21" t="str">
        <f t="shared" si="49"/>
        <v>D:</v>
      </c>
      <c r="L331" s="21">
        <v>1000</v>
      </c>
      <c r="M331" s="22" t="s">
        <v>69</v>
      </c>
      <c r="N331" s="23"/>
      <c r="O331" s="24"/>
      <c r="P331" s="25"/>
      <c r="Q331" s="26" t="str">
        <f t="shared" si="50"/>
        <v>Panel Inferior / W:1120D:1000 mm</v>
      </c>
    </row>
    <row r="332" spans="1:17" ht="20" customHeight="1" x14ac:dyDescent="0.65">
      <c r="B332" s="59" t="str">
        <f t="shared" si="46"/>
        <v/>
      </c>
      <c r="C332" s="1"/>
      <c r="M332" s="1"/>
      <c r="N332" s="1"/>
      <c r="O332" s="1"/>
      <c r="P332" s="1"/>
      <c r="Q332" s="46"/>
    </row>
    <row r="333" spans="1:17" ht="20" customHeight="1" outlineLevel="1" x14ac:dyDescent="0.65">
      <c r="A333" s="14">
        <v>310</v>
      </c>
      <c r="B333" s="15" t="str">
        <f t="shared" si="46"/>
        <v>2040BaE</v>
      </c>
      <c r="C333" s="16" t="s">
        <v>471</v>
      </c>
      <c r="D333" s="49" t="s">
        <v>472</v>
      </c>
      <c r="E333" s="57"/>
      <c r="F333" s="57"/>
      <c r="G333" s="19" t="str">
        <f t="shared" si="47"/>
        <v/>
      </c>
      <c r="H333" s="58"/>
      <c r="I333" s="20" t="str">
        <f t="shared" si="48"/>
        <v>W:</v>
      </c>
      <c r="J333" s="20">
        <v>200</v>
      </c>
      <c r="K333" s="21" t="str">
        <f t="shared" si="49"/>
        <v>D:</v>
      </c>
      <c r="L333" s="21">
        <v>400</v>
      </c>
      <c r="M333" s="22" t="s">
        <v>55</v>
      </c>
      <c r="N333" s="23"/>
      <c r="O333" s="24"/>
      <c r="P333" s="25"/>
      <c r="Q333" s="26" t="str">
        <f t="shared" si="50"/>
        <v>Base Estructural / W:200D:400 mm</v>
      </c>
    </row>
    <row r="334" spans="1:17" ht="20" customHeight="1" outlineLevel="1" x14ac:dyDescent="0.65">
      <c r="A334" s="14">
        <v>311</v>
      </c>
      <c r="B334" s="15" t="str">
        <f t="shared" si="46"/>
        <v>2060BaE</v>
      </c>
      <c r="C334" s="16" t="s">
        <v>471</v>
      </c>
      <c r="D334" s="49" t="s">
        <v>473</v>
      </c>
      <c r="E334" s="57"/>
      <c r="F334" s="57"/>
      <c r="G334" s="19" t="str">
        <f t="shared" si="47"/>
        <v/>
      </c>
      <c r="H334" s="58"/>
      <c r="I334" s="20" t="str">
        <f t="shared" si="48"/>
        <v>W:</v>
      </c>
      <c r="J334" s="20">
        <v>200</v>
      </c>
      <c r="K334" s="21" t="str">
        <f t="shared" si="49"/>
        <v>D:</v>
      </c>
      <c r="L334" s="21">
        <v>600</v>
      </c>
      <c r="M334" s="22" t="s">
        <v>55</v>
      </c>
      <c r="N334" s="23"/>
      <c r="O334" s="24"/>
      <c r="P334" s="25"/>
      <c r="Q334" s="26" t="str">
        <f t="shared" si="50"/>
        <v>Base Estructural / W:200D:600 mm</v>
      </c>
    </row>
    <row r="335" spans="1:17" ht="20" customHeight="1" outlineLevel="1" x14ac:dyDescent="0.65">
      <c r="A335" s="14">
        <v>312</v>
      </c>
      <c r="B335" s="15" t="str">
        <f t="shared" si="46"/>
        <v>2010BaE</v>
      </c>
      <c r="C335" s="16" t="s">
        <v>471</v>
      </c>
      <c r="D335" s="49" t="s">
        <v>474</v>
      </c>
      <c r="E335" s="57"/>
      <c r="F335" s="57"/>
      <c r="G335" s="19" t="str">
        <f t="shared" si="47"/>
        <v/>
      </c>
      <c r="H335" s="58"/>
      <c r="I335" s="20" t="str">
        <f t="shared" si="48"/>
        <v>W:</v>
      </c>
      <c r="J335" s="20">
        <v>200</v>
      </c>
      <c r="K335" s="21" t="str">
        <f t="shared" si="49"/>
        <v>D:</v>
      </c>
      <c r="L335" s="21">
        <v>1000</v>
      </c>
      <c r="M335" s="22" t="s">
        <v>55</v>
      </c>
      <c r="N335" s="23"/>
      <c r="O335" s="24"/>
      <c r="P335" s="25"/>
      <c r="Q335" s="26" t="str">
        <f t="shared" si="50"/>
        <v>Base Estructural / W:200D:1000 mm</v>
      </c>
    </row>
    <row r="336" spans="1:17" ht="20" customHeight="1" outlineLevel="1" x14ac:dyDescent="0.65">
      <c r="A336" s="14">
        <v>313</v>
      </c>
      <c r="B336" s="15" t="str">
        <f t="shared" si="46"/>
        <v>4040BaE</v>
      </c>
      <c r="C336" s="16" t="s">
        <v>471</v>
      </c>
      <c r="D336" s="49" t="s">
        <v>475</v>
      </c>
      <c r="E336" s="57"/>
      <c r="F336" s="57"/>
      <c r="G336" s="19" t="str">
        <f t="shared" si="47"/>
        <v/>
      </c>
      <c r="H336" s="58"/>
      <c r="I336" s="20" t="str">
        <f t="shared" si="48"/>
        <v>W:</v>
      </c>
      <c r="J336" s="20">
        <v>400</v>
      </c>
      <c r="K336" s="21" t="str">
        <f t="shared" si="49"/>
        <v>D:</v>
      </c>
      <c r="L336" s="21">
        <v>400</v>
      </c>
      <c r="M336" s="22" t="s">
        <v>55</v>
      </c>
      <c r="N336" s="23"/>
      <c r="O336" s="24"/>
      <c r="P336" s="25"/>
      <c r="Q336" s="26" t="str">
        <f t="shared" si="50"/>
        <v>Base Estructural / W:400D:400 mm</v>
      </c>
    </row>
    <row r="337" spans="1:17" ht="20" customHeight="1" outlineLevel="1" x14ac:dyDescent="0.65">
      <c r="A337" s="14">
        <v>314</v>
      </c>
      <c r="B337" s="15" t="str">
        <f t="shared" si="46"/>
        <v>4060BaE</v>
      </c>
      <c r="C337" s="16" t="s">
        <v>471</v>
      </c>
      <c r="D337" s="49" t="s">
        <v>476</v>
      </c>
      <c r="E337" s="57"/>
      <c r="F337" s="57"/>
      <c r="G337" s="19" t="str">
        <f t="shared" si="47"/>
        <v/>
      </c>
      <c r="H337" s="58"/>
      <c r="I337" s="20" t="str">
        <f t="shared" si="48"/>
        <v>W:</v>
      </c>
      <c r="J337" s="20">
        <v>400</v>
      </c>
      <c r="K337" s="21" t="str">
        <f t="shared" si="49"/>
        <v>D:</v>
      </c>
      <c r="L337" s="21">
        <v>600</v>
      </c>
      <c r="M337" s="22" t="s">
        <v>55</v>
      </c>
      <c r="N337" s="23"/>
      <c r="O337" s="24"/>
      <c r="P337" s="25"/>
      <c r="Q337" s="26" t="str">
        <f t="shared" si="50"/>
        <v>Base Estructural / W:400D:600 mm</v>
      </c>
    </row>
    <row r="338" spans="1:17" ht="20" customHeight="1" outlineLevel="1" x14ac:dyDescent="0.65">
      <c r="A338" s="14">
        <v>315</v>
      </c>
      <c r="B338" s="15" t="str">
        <f t="shared" si="46"/>
        <v>4010BaE</v>
      </c>
      <c r="C338" s="16" t="s">
        <v>471</v>
      </c>
      <c r="D338" s="49" t="s">
        <v>477</v>
      </c>
      <c r="E338" s="57"/>
      <c r="F338" s="57"/>
      <c r="G338" s="19" t="str">
        <f t="shared" si="47"/>
        <v/>
      </c>
      <c r="H338" s="58"/>
      <c r="I338" s="20" t="str">
        <f t="shared" si="48"/>
        <v>W:</v>
      </c>
      <c r="J338" s="20">
        <v>400</v>
      </c>
      <c r="K338" s="21" t="str">
        <f t="shared" si="49"/>
        <v>D:</v>
      </c>
      <c r="L338" s="21">
        <v>1000</v>
      </c>
      <c r="M338" s="22" t="s">
        <v>55</v>
      </c>
      <c r="N338" s="23"/>
      <c r="O338" s="24"/>
      <c r="P338" s="25"/>
      <c r="Q338" s="26" t="str">
        <f t="shared" si="50"/>
        <v>Base Estructural / W:400D:1000 mm</v>
      </c>
    </row>
    <row r="339" spans="1:17" ht="20" customHeight="1" outlineLevel="1" x14ac:dyDescent="0.65">
      <c r="A339" s="14">
        <v>316</v>
      </c>
      <c r="B339" s="15" t="str">
        <f t="shared" ref="B339:B404" si="51">MID(H339,1,2)&amp;MID(J339,1,2)&amp;MID(L339,1,2)&amp;MID(C339,1,2)&amp;MID(M339,1,1)&amp;MID(N339,1,1)&amp;MID(O339,1,1)&amp;MID(P339,1,3)</f>
        <v>7240BaE</v>
      </c>
      <c r="C339" s="16" t="s">
        <v>471</v>
      </c>
      <c r="D339" s="49" t="s">
        <v>478</v>
      </c>
      <c r="E339" s="57"/>
      <c r="F339" s="57"/>
      <c r="G339" s="19" t="str">
        <f t="shared" si="47"/>
        <v/>
      </c>
      <c r="H339" s="58"/>
      <c r="I339" s="20" t="str">
        <f t="shared" si="48"/>
        <v>W:</v>
      </c>
      <c r="J339" s="20">
        <v>720</v>
      </c>
      <c r="K339" s="21" t="str">
        <f t="shared" si="49"/>
        <v>D:</v>
      </c>
      <c r="L339" s="21">
        <v>400</v>
      </c>
      <c r="M339" s="22" t="s">
        <v>55</v>
      </c>
      <c r="N339" s="23"/>
      <c r="O339" s="24"/>
      <c r="P339" s="25"/>
      <c r="Q339" s="26" t="str">
        <f t="shared" si="50"/>
        <v>Base Estructural / W:720D:400 mm</v>
      </c>
    </row>
    <row r="340" spans="1:17" ht="20" customHeight="1" outlineLevel="1" x14ac:dyDescent="0.65">
      <c r="A340" s="14">
        <v>317</v>
      </c>
      <c r="B340" s="15" t="str">
        <f t="shared" si="51"/>
        <v>7260BaE</v>
      </c>
      <c r="C340" s="16" t="s">
        <v>471</v>
      </c>
      <c r="D340" s="49" t="s">
        <v>479</v>
      </c>
      <c r="E340" s="57"/>
      <c r="F340" s="57"/>
      <c r="G340" s="19" t="str">
        <f t="shared" ref="G340:G404" si="52">IF(H340&lt;&gt;"","H:","")</f>
        <v/>
      </c>
      <c r="H340" s="58"/>
      <c r="I340" s="20" t="str">
        <f t="shared" ref="I340:I404" si="53">IF(J340&lt;&gt;"","W:","")</f>
        <v>W:</v>
      </c>
      <c r="J340" s="20">
        <v>720</v>
      </c>
      <c r="K340" s="21" t="str">
        <f t="shared" ref="K340:K404" si="54">IF(L340&lt;&gt;"","D:","")</f>
        <v>D:</v>
      </c>
      <c r="L340" s="21">
        <v>600</v>
      </c>
      <c r="M340" s="22" t="s">
        <v>55</v>
      </c>
      <c r="N340" s="23"/>
      <c r="O340" s="24"/>
      <c r="P340" s="25"/>
      <c r="Q340" s="26" t="str">
        <f t="shared" ref="Q340:Q392" si="55">IF(B340&lt;&gt;"",(C340&amp;M340&amp;N340&amp;O340&amp;P340&amp;" / "&amp;G340&amp;H340&amp;I340&amp;J340&amp;K340&amp;L340&amp;" mm"),"")</f>
        <v>Base Estructural / W:720D:600 mm</v>
      </c>
    </row>
    <row r="341" spans="1:17" ht="20" customHeight="1" outlineLevel="1" x14ac:dyDescent="0.65">
      <c r="A341" s="14">
        <v>318</v>
      </c>
      <c r="B341" s="15" t="str">
        <f t="shared" si="51"/>
        <v>7210BaE</v>
      </c>
      <c r="C341" s="16" t="s">
        <v>471</v>
      </c>
      <c r="D341" s="49" t="s">
        <v>480</v>
      </c>
      <c r="E341" s="57"/>
      <c r="F341" s="57"/>
      <c r="G341" s="19" t="str">
        <f t="shared" si="52"/>
        <v/>
      </c>
      <c r="H341" s="58"/>
      <c r="I341" s="20" t="str">
        <f t="shared" si="53"/>
        <v>W:</v>
      </c>
      <c r="J341" s="20">
        <v>720</v>
      </c>
      <c r="K341" s="21" t="str">
        <f t="shared" si="54"/>
        <v>D:</v>
      </c>
      <c r="L341" s="21">
        <v>1000</v>
      </c>
      <c r="M341" s="22" t="s">
        <v>55</v>
      </c>
      <c r="N341" s="23"/>
      <c r="O341" s="24"/>
      <c r="P341" s="25"/>
      <c r="Q341" s="26" t="str">
        <f t="shared" si="55"/>
        <v>Base Estructural / W:720D:1000 mm</v>
      </c>
    </row>
    <row r="342" spans="1:17" ht="20" customHeight="1" outlineLevel="1" x14ac:dyDescent="0.65">
      <c r="A342" s="14">
        <v>319</v>
      </c>
      <c r="B342" s="15" t="str">
        <f t="shared" si="51"/>
        <v>8060BaE</v>
      </c>
      <c r="C342" s="16" t="s">
        <v>471</v>
      </c>
      <c r="D342" s="49" t="s">
        <v>481</v>
      </c>
      <c r="E342" s="57"/>
      <c r="F342" s="57"/>
      <c r="G342" s="19" t="str">
        <f t="shared" si="52"/>
        <v/>
      </c>
      <c r="H342" s="58"/>
      <c r="I342" s="20" t="str">
        <f t="shared" si="53"/>
        <v>W:</v>
      </c>
      <c r="J342" s="20">
        <v>800</v>
      </c>
      <c r="K342" s="21" t="str">
        <f t="shared" si="54"/>
        <v>D:</v>
      </c>
      <c r="L342" s="21">
        <v>600</v>
      </c>
      <c r="M342" s="22" t="s">
        <v>55</v>
      </c>
      <c r="N342" s="23"/>
      <c r="O342" s="24"/>
      <c r="P342" s="25"/>
      <c r="Q342" s="26" t="str">
        <f t="shared" si="55"/>
        <v>Base Estructural / W:800D:600 mm</v>
      </c>
    </row>
    <row r="343" spans="1:17" ht="20" customHeight="1" outlineLevel="1" x14ac:dyDescent="0.65">
      <c r="A343" s="14">
        <v>320</v>
      </c>
      <c r="B343" s="15" t="str">
        <f t="shared" si="51"/>
        <v>8010BaE</v>
      </c>
      <c r="C343" s="16" t="s">
        <v>471</v>
      </c>
      <c r="D343" s="49" t="s">
        <v>482</v>
      </c>
      <c r="E343" s="57"/>
      <c r="F343" s="57"/>
      <c r="G343" s="19" t="str">
        <f t="shared" si="52"/>
        <v/>
      </c>
      <c r="H343" s="58"/>
      <c r="I343" s="20" t="str">
        <f t="shared" si="53"/>
        <v>W:</v>
      </c>
      <c r="J343" s="20">
        <v>800</v>
      </c>
      <c r="K343" s="21" t="str">
        <f t="shared" si="54"/>
        <v>D:</v>
      </c>
      <c r="L343" s="21">
        <v>1000</v>
      </c>
      <c r="M343" s="22" t="s">
        <v>55</v>
      </c>
      <c r="N343" s="23"/>
      <c r="O343" s="24"/>
      <c r="P343" s="25"/>
      <c r="Q343" s="26" t="str">
        <f t="shared" si="55"/>
        <v>Base Estructural / W:800D:1000 mm</v>
      </c>
    </row>
    <row r="344" spans="1:17" ht="20" customHeight="1" outlineLevel="1" x14ac:dyDescent="0.65">
      <c r="A344" s="14">
        <v>321</v>
      </c>
      <c r="B344" s="15" t="str">
        <f t="shared" si="51"/>
        <v>1140BaE</v>
      </c>
      <c r="C344" s="16" t="s">
        <v>471</v>
      </c>
      <c r="D344" s="49" t="s">
        <v>483</v>
      </c>
      <c r="E344" s="57"/>
      <c r="F344" s="57"/>
      <c r="G344" s="19" t="str">
        <f t="shared" si="52"/>
        <v/>
      </c>
      <c r="H344" s="58"/>
      <c r="I344" s="20" t="str">
        <f t="shared" si="53"/>
        <v>W:</v>
      </c>
      <c r="J344" s="20">
        <v>1120</v>
      </c>
      <c r="K344" s="21" t="str">
        <f t="shared" si="54"/>
        <v>D:</v>
      </c>
      <c r="L344" s="21">
        <v>400</v>
      </c>
      <c r="M344" s="22" t="s">
        <v>55</v>
      </c>
      <c r="N344" s="23"/>
      <c r="O344" s="24"/>
      <c r="P344" s="25"/>
      <c r="Q344" s="26" t="str">
        <f t="shared" si="55"/>
        <v>Base Estructural / W:1120D:400 mm</v>
      </c>
    </row>
    <row r="345" spans="1:17" ht="20" customHeight="1" outlineLevel="1" x14ac:dyDescent="0.65">
      <c r="A345" s="14">
        <v>322</v>
      </c>
      <c r="B345" s="15" t="str">
        <f t="shared" si="51"/>
        <v>1160BaE</v>
      </c>
      <c r="C345" s="16" t="s">
        <v>471</v>
      </c>
      <c r="D345" s="49" t="s">
        <v>484</v>
      </c>
      <c r="E345" s="57"/>
      <c r="F345" s="57"/>
      <c r="G345" s="19" t="str">
        <f t="shared" si="52"/>
        <v/>
      </c>
      <c r="H345" s="58"/>
      <c r="I345" s="20" t="str">
        <f t="shared" si="53"/>
        <v>W:</v>
      </c>
      <c r="J345" s="20">
        <v>1120</v>
      </c>
      <c r="K345" s="21" t="str">
        <f t="shared" si="54"/>
        <v>D:</v>
      </c>
      <c r="L345" s="21">
        <v>600</v>
      </c>
      <c r="M345" s="22" t="s">
        <v>55</v>
      </c>
      <c r="N345" s="23"/>
      <c r="O345" s="24"/>
      <c r="P345" s="25"/>
      <c r="Q345" s="26" t="str">
        <f t="shared" si="55"/>
        <v>Base Estructural / W:1120D:600 mm</v>
      </c>
    </row>
    <row r="346" spans="1:17" ht="20" customHeight="1" outlineLevel="1" x14ac:dyDescent="0.65">
      <c r="A346" s="14">
        <v>323</v>
      </c>
      <c r="B346" s="15" t="str">
        <f t="shared" si="51"/>
        <v>1110BaE</v>
      </c>
      <c r="C346" s="60" t="s">
        <v>471</v>
      </c>
      <c r="D346" s="61" t="s">
        <v>485</v>
      </c>
      <c r="E346" s="62"/>
      <c r="F346" s="57"/>
      <c r="G346" s="19" t="str">
        <f t="shared" si="52"/>
        <v/>
      </c>
      <c r="H346" s="58"/>
      <c r="I346" s="20" t="str">
        <f t="shared" si="53"/>
        <v>W:</v>
      </c>
      <c r="J346" s="20">
        <v>1120</v>
      </c>
      <c r="K346" s="21" t="str">
        <f t="shared" si="54"/>
        <v>D:</v>
      </c>
      <c r="L346" s="21">
        <v>1000</v>
      </c>
      <c r="M346" s="22" t="s">
        <v>55</v>
      </c>
      <c r="N346" s="23"/>
      <c r="O346" s="24"/>
      <c r="P346" s="25"/>
      <c r="Q346" s="26" t="str">
        <f t="shared" si="55"/>
        <v>Base Estructural / W:1120D:1000 mm</v>
      </c>
    </row>
    <row r="347" spans="1:17" ht="20" customHeight="1" outlineLevel="1" x14ac:dyDescent="0.65">
      <c r="A347" s="14">
        <v>324</v>
      </c>
      <c r="B347" s="63" t="str">
        <f>MID(H347,1,2)&amp;MID(J347,1,2)&amp;MID(L347,1,2)&amp;MID(C347,1,2)&amp;MID(M347,1,1)&amp;MID(N347,1,1)&amp;MID(O347,1,1)&amp;MID(P347,1,3)</f>
        <v>BaZ</v>
      </c>
      <c r="C347" s="64" t="s">
        <v>471</v>
      </c>
      <c r="D347" s="65" t="s">
        <v>486</v>
      </c>
      <c r="E347" s="66"/>
      <c r="F347" s="67"/>
      <c r="G347" s="19" t="str">
        <f t="shared" si="52"/>
        <v/>
      </c>
      <c r="H347" s="58"/>
      <c r="I347" s="20" t="str">
        <f t="shared" si="53"/>
        <v/>
      </c>
      <c r="J347" s="68"/>
      <c r="K347" s="21" t="str">
        <f t="shared" si="54"/>
        <v/>
      </c>
      <c r="L347" s="69"/>
      <c r="M347" s="22" t="s">
        <v>487</v>
      </c>
      <c r="N347" s="23"/>
      <c r="O347" s="24"/>
      <c r="P347" s="25"/>
      <c r="Q347" s="26" t="str">
        <f>IF(B347&lt;&gt;"",(C347&amp;M347&amp;N347&amp;O347&amp;P347&amp;G347&amp;H347&amp;I347&amp;J347&amp;K347&amp;L347),"")</f>
        <v>Base Zocalo</v>
      </c>
    </row>
    <row r="348" spans="1:17" ht="20" customHeight="1" outlineLevel="1" x14ac:dyDescent="0.65">
      <c r="A348" s="14"/>
      <c r="B348" s="63" t="str">
        <f t="shared" ref="B348:B361" si="56">MID(H348,1,2)&amp;MID(J348,1,2)&amp;MID(L348,1,2)&amp;MID(C348,1,2)&amp;MID(M348,1,1)&amp;MID(N348,1,1)&amp;MID(O348,1,1)&amp;MID(P348,1,3)</f>
        <v>2040BaEH4</v>
      </c>
      <c r="C348" s="64" t="s">
        <v>471</v>
      </c>
      <c r="D348" s="70" t="s">
        <v>488</v>
      </c>
      <c r="E348" s="66"/>
      <c r="F348" s="67"/>
      <c r="G348" s="19" t="str">
        <f t="shared" si="52"/>
        <v/>
      </c>
      <c r="H348" s="58"/>
      <c r="I348" s="20" t="str">
        <f t="shared" si="53"/>
        <v>W:</v>
      </c>
      <c r="J348" s="20" t="s">
        <v>489</v>
      </c>
      <c r="K348" s="21" t="str">
        <f t="shared" si="54"/>
        <v>D:</v>
      </c>
      <c r="L348" s="21" t="s">
        <v>167</v>
      </c>
      <c r="M348" s="22" t="s">
        <v>490</v>
      </c>
      <c r="N348" s="23" t="s">
        <v>491</v>
      </c>
      <c r="O348" s="24">
        <v>400</v>
      </c>
      <c r="P348" s="25"/>
      <c r="Q348" s="26" t="str">
        <f t="shared" si="55"/>
        <v>Base Estructural H:400 / W:200D:400 mm</v>
      </c>
    </row>
    <row r="349" spans="1:17" ht="20" customHeight="1" outlineLevel="1" x14ac:dyDescent="0.65">
      <c r="A349" s="14"/>
      <c r="B349" s="63" t="str">
        <f t="shared" si="56"/>
        <v>2060BaEH4</v>
      </c>
      <c r="C349" s="64" t="s">
        <v>471</v>
      </c>
      <c r="D349" s="70" t="s">
        <v>492</v>
      </c>
      <c r="E349" s="66"/>
      <c r="F349" s="67"/>
      <c r="G349" s="19" t="str">
        <f t="shared" si="52"/>
        <v/>
      </c>
      <c r="H349" s="58"/>
      <c r="I349" s="20" t="str">
        <f t="shared" si="53"/>
        <v>W:</v>
      </c>
      <c r="J349" s="20" t="s">
        <v>489</v>
      </c>
      <c r="K349" s="21" t="str">
        <f t="shared" si="54"/>
        <v>D:</v>
      </c>
      <c r="L349" s="21" t="s">
        <v>493</v>
      </c>
      <c r="M349" s="22" t="s">
        <v>490</v>
      </c>
      <c r="N349" s="23" t="s">
        <v>491</v>
      </c>
      <c r="O349" s="24">
        <v>400</v>
      </c>
      <c r="P349" s="25"/>
      <c r="Q349" s="26" t="str">
        <f t="shared" si="55"/>
        <v>Base Estructural H:400 / W:200D:600 mm</v>
      </c>
    </row>
    <row r="350" spans="1:17" ht="20" customHeight="1" outlineLevel="1" x14ac:dyDescent="0.65">
      <c r="A350" s="14"/>
      <c r="B350" s="63" t="str">
        <f t="shared" si="56"/>
        <v>2010BaEH4</v>
      </c>
      <c r="C350" s="64" t="s">
        <v>471</v>
      </c>
      <c r="D350" s="70" t="s">
        <v>494</v>
      </c>
      <c r="E350" s="66"/>
      <c r="F350" s="67"/>
      <c r="G350" s="19" t="str">
        <f t="shared" si="52"/>
        <v/>
      </c>
      <c r="H350" s="58"/>
      <c r="I350" s="20" t="str">
        <f t="shared" si="53"/>
        <v>W:</v>
      </c>
      <c r="J350" s="20" t="s">
        <v>489</v>
      </c>
      <c r="K350" s="21" t="str">
        <f t="shared" si="54"/>
        <v>D:</v>
      </c>
      <c r="L350" s="21" t="s">
        <v>495</v>
      </c>
      <c r="M350" s="22" t="s">
        <v>490</v>
      </c>
      <c r="N350" s="23" t="s">
        <v>491</v>
      </c>
      <c r="O350" s="24">
        <v>400</v>
      </c>
      <c r="P350" s="25"/>
      <c r="Q350" s="26" t="str">
        <f t="shared" si="55"/>
        <v>Base Estructural H:400 / W:200D:1000 mm</v>
      </c>
    </row>
    <row r="351" spans="1:17" ht="20" customHeight="1" outlineLevel="1" x14ac:dyDescent="0.65">
      <c r="A351" s="14"/>
      <c r="B351" s="63" t="str">
        <f t="shared" si="56"/>
        <v>4040BaEH4</v>
      </c>
      <c r="C351" s="64" t="s">
        <v>471</v>
      </c>
      <c r="D351" s="70" t="s">
        <v>496</v>
      </c>
      <c r="E351" s="66"/>
      <c r="F351" s="67"/>
      <c r="G351" s="19" t="str">
        <f t="shared" si="52"/>
        <v/>
      </c>
      <c r="H351" s="58"/>
      <c r="I351" s="20" t="str">
        <f t="shared" si="53"/>
        <v>W:</v>
      </c>
      <c r="J351" s="20" t="s">
        <v>167</v>
      </c>
      <c r="K351" s="21" t="str">
        <f t="shared" si="54"/>
        <v>D:</v>
      </c>
      <c r="L351" s="21" t="s">
        <v>167</v>
      </c>
      <c r="M351" s="22" t="s">
        <v>490</v>
      </c>
      <c r="N351" s="23" t="s">
        <v>491</v>
      </c>
      <c r="O351" s="24">
        <v>400</v>
      </c>
      <c r="P351" s="25"/>
      <c r="Q351" s="26" t="str">
        <f t="shared" si="55"/>
        <v>Base Estructural H:400 / W:400D:400 mm</v>
      </c>
    </row>
    <row r="352" spans="1:17" ht="20" customHeight="1" outlineLevel="1" x14ac:dyDescent="0.65">
      <c r="A352" s="14"/>
      <c r="B352" s="63" t="str">
        <f t="shared" si="56"/>
        <v>4060BaEH4</v>
      </c>
      <c r="C352" s="64" t="s">
        <v>471</v>
      </c>
      <c r="D352" s="70" t="s">
        <v>497</v>
      </c>
      <c r="E352" s="66"/>
      <c r="F352" s="67"/>
      <c r="G352" s="19" t="str">
        <f t="shared" si="52"/>
        <v/>
      </c>
      <c r="H352" s="58"/>
      <c r="I352" s="20" t="str">
        <f t="shared" si="53"/>
        <v>W:</v>
      </c>
      <c r="J352" s="20" t="s">
        <v>167</v>
      </c>
      <c r="K352" s="21" t="str">
        <f t="shared" si="54"/>
        <v>D:</v>
      </c>
      <c r="L352" s="21" t="s">
        <v>493</v>
      </c>
      <c r="M352" s="22" t="s">
        <v>490</v>
      </c>
      <c r="N352" s="23" t="s">
        <v>491</v>
      </c>
      <c r="O352" s="24">
        <v>400</v>
      </c>
      <c r="P352" s="25"/>
      <c r="Q352" s="26" t="str">
        <f t="shared" si="55"/>
        <v>Base Estructural H:400 / W:400D:600 mm</v>
      </c>
    </row>
    <row r="353" spans="1:17" ht="20" customHeight="1" outlineLevel="1" x14ac:dyDescent="0.65">
      <c r="A353" s="14"/>
      <c r="B353" s="63" t="str">
        <f t="shared" si="56"/>
        <v>4010BaEH4</v>
      </c>
      <c r="C353" s="64" t="s">
        <v>471</v>
      </c>
      <c r="D353" s="70" t="s">
        <v>498</v>
      </c>
      <c r="E353" s="66"/>
      <c r="F353" s="67"/>
      <c r="G353" s="19" t="str">
        <f t="shared" si="52"/>
        <v/>
      </c>
      <c r="H353" s="58"/>
      <c r="I353" s="20" t="str">
        <f t="shared" si="53"/>
        <v>W:</v>
      </c>
      <c r="J353" s="20" t="s">
        <v>167</v>
      </c>
      <c r="K353" s="21" t="str">
        <f t="shared" si="54"/>
        <v>D:</v>
      </c>
      <c r="L353" s="21" t="s">
        <v>495</v>
      </c>
      <c r="M353" s="22" t="s">
        <v>490</v>
      </c>
      <c r="N353" s="23" t="s">
        <v>491</v>
      </c>
      <c r="O353" s="24">
        <v>400</v>
      </c>
      <c r="P353" s="25"/>
      <c r="Q353" s="26" t="str">
        <f t="shared" si="55"/>
        <v>Base Estructural H:400 / W:400D:1000 mm</v>
      </c>
    </row>
    <row r="354" spans="1:17" ht="20" customHeight="1" outlineLevel="1" x14ac:dyDescent="0.65">
      <c r="A354" s="14"/>
      <c r="B354" s="63" t="str">
        <f t="shared" si="56"/>
        <v>7240BaEH4</v>
      </c>
      <c r="C354" s="64" t="s">
        <v>471</v>
      </c>
      <c r="D354" s="70" t="s">
        <v>499</v>
      </c>
      <c r="E354" s="66"/>
      <c r="F354" s="67"/>
      <c r="G354" s="19" t="str">
        <f t="shared" si="52"/>
        <v/>
      </c>
      <c r="H354" s="58"/>
      <c r="I354" s="20" t="str">
        <f t="shared" si="53"/>
        <v>W:</v>
      </c>
      <c r="J354" s="20" t="s">
        <v>170</v>
      </c>
      <c r="K354" s="21" t="str">
        <f t="shared" si="54"/>
        <v>D:</v>
      </c>
      <c r="L354" s="21" t="s">
        <v>167</v>
      </c>
      <c r="M354" s="22" t="s">
        <v>490</v>
      </c>
      <c r="N354" s="23" t="s">
        <v>491</v>
      </c>
      <c r="O354" s="24">
        <v>400</v>
      </c>
      <c r="P354" s="25"/>
      <c r="Q354" s="26" t="str">
        <f t="shared" si="55"/>
        <v>Base Estructural H:400 / W:720D:400 mm</v>
      </c>
    </row>
    <row r="355" spans="1:17" ht="20" customHeight="1" outlineLevel="1" x14ac:dyDescent="0.65">
      <c r="A355" s="14"/>
      <c r="B355" s="63" t="str">
        <f t="shared" si="56"/>
        <v>7260BaEH4</v>
      </c>
      <c r="C355" s="64" t="s">
        <v>471</v>
      </c>
      <c r="D355" s="70" t="s">
        <v>500</v>
      </c>
      <c r="E355" s="66"/>
      <c r="F355" s="67"/>
      <c r="G355" s="19" t="str">
        <f t="shared" si="52"/>
        <v/>
      </c>
      <c r="H355" s="58"/>
      <c r="I355" s="20" t="str">
        <f t="shared" si="53"/>
        <v>W:</v>
      </c>
      <c r="J355" s="20" t="s">
        <v>170</v>
      </c>
      <c r="K355" s="21" t="str">
        <f t="shared" si="54"/>
        <v>D:</v>
      </c>
      <c r="L355" s="21" t="s">
        <v>493</v>
      </c>
      <c r="M355" s="22" t="s">
        <v>490</v>
      </c>
      <c r="N355" s="23" t="s">
        <v>491</v>
      </c>
      <c r="O355" s="24">
        <v>400</v>
      </c>
      <c r="P355" s="25"/>
      <c r="Q355" s="26" t="str">
        <f t="shared" si="55"/>
        <v>Base Estructural H:400 / W:720D:600 mm</v>
      </c>
    </row>
    <row r="356" spans="1:17" ht="20" customHeight="1" outlineLevel="1" x14ac:dyDescent="0.65">
      <c r="A356" s="14"/>
      <c r="B356" s="63" t="str">
        <f t="shared" si="56"/>
        <v>7210BaEH4</v>
      </c>
      <c r="C356" s="64" t="s">
        <v>471</v>
      </c>
      <c r="D356" s="70" t="s">
        <v>501</v>
      </c>
      <c r="E356" s="66"/>
      <c r="F356" s="67"/>
      <c r="G356" s="19" t="str">
        <f t="shared" si="52"/>
        <v/>
      </c>
      <c r="H356" s="58"/>
      <c r="I356" s="20" t="str">
        <f t="shared" si="53"/>
        <v>W:</v>
      </c>
      <c r="J356" s="20" t="s">
        <v>170</v>
      </c>
      <c r="K356" s="21" t="str">
        <f t="shared" si="54"/>
        <v>D:</v>
      </c>
      <c r="L356" s="21" t="s">
        <v>495</v>
      </c>
      <c r="M356" s="22" t="s">
        <v>490</v>
      </c>
      <c r="N356" s="23" t="s">
        <v>491</v>
      </c>
      <c r="O356" s="24">
        <v>400</v>
      </c>
      <c r="P356" s="25"/>
      <c r="Q356" s="26" t="str">
        <f t="shared" si="55"/>
        <v>Base Estructural H:400 / W:720D:1000 mm</v>
      </c>
    </row>
    <row r="357" spans="1:17" ht="20" customHeight="1" outlineLevel="1" x14ac:dyDescent="0.65">
      <c r="A357" s="14"/>
      <c r="B357" s="63" t="str">
        <f t="shared" si="56"/>
        <v>8060BaEH4</v>
      </c>
      <c r="C357" s="64" t="s">
        <v>471</v>
      </c>
      <c r="D357" s="70" t="s">
        <v>502</v>
      </c>
      <c r="E357" s="66"/>
      <c r="F357" s="67"/>
      <c r="G357" s="19" t="str">
        <f t="shared" si="52"/>
        <v/>
      </c>
      <c r="H357" s="58"/>
      <c r="I357" s="20" t="str">
        <f t="shared" si="53"/>
        <v>W:</v>
      </c>
      <c r="J357" s="20" t="s">
        <v>177</v>
      </c>
      <c r="K357" s="21" t="str">
        <f t="shared" si="54"/>
        <v>D:</v>
      </c>
      <c r="L357" s="21" t="s">
        <v>493</v>
      </c>
      <c r="M357" s="22" t="s">
        <v>490</v>
      </c>
      <c r="N357" s="23" t="s">
        <v>491</v>
      </c>
      <c r="O357" s="24">
        <v>400</v>
      </c>
      <c r="P357" s="25"/>
      <c r="Q357" s="26" t="str">
        <f t="shared" si="55"/>
        <v>Base Estructural H:400 / W:800D:600 mm</v>
      </c>
    </row>
    <row r="358" spans="1:17" ht="20" customHeight="1" outlineLevel="1" x14ac:dyDescent="0.65">
      <c r="A358" s="14"/>
      <c r="B358" s="63" t="str">
        <f t="shared" si="56"/>
        <v>8010BaEH4</v>
      </c>
      <c r="C358" s="64" t="s">
        <v>471</v>
      </c>
      <c r="D358" s="70" t="s">
        <v>503</v>
      </c>
      <c r="E358" s="66"/>
      <c r="F358" s="67"/>
      <c r="G358" s="19" t="str">
        <f t="shared" si="52"/>
        <v/>
      </c>
      <c r="H358" s="58"/>
      <c r="I358" s="20" t="str">
        <f t="shared" si="53"/>
        <v>W:</v>
      </c>
      <c r="J358" s="20" t="s">
        <v>177</v>
      </c>
      <c r="K358" s="21" t="str">
        <f t="shared" si="54"/>
        <v>D:</v>
      </c>
      <c r="L358" s="21" t="s">
        <v>495</v>
      </c>
      <c r="M358" s="22" t="s">
        <v>490</v>
      </c>
      <c r="N358" s="23" t="s">
        <v>491</v>
      </c>
      <c r="O358" s="24">
        <v>400</v>
      </c>
      <c r="P358" s="25"/>
      <c r="Q358" s="26" t="str">
        <f t="shared" si="55"/>
        <v>Base Estructural H:400 / W:800D:1000 mm</v>
      </c>
    </row>
    <row r="359" spans="1:17" ht="20" customHeight="1" outlineLevel="1" x14ac:dyDescent="0.65">
      <c r="A359" s="14"/>
      <c r="B359" s="63" t="str">
        <f t="shared" si="56"/>
        <v>1140BaEH4</v>
      </c>
      <c r="C359" s="64" t="s">
        <v>471</v>
      </c>
      <c r="D359" s="70" t="s">
        <v>504</v>
      </c>
      <c r="E359" s="66"/>
      <c r="F359" s="67"/>
      <c r="G359" s="19" t="str">
        <f t="shared" si="52"/>
        <v/>
      </c>
      <c r="H359" s="58"/>
      <c r="I359" s="20" t="str">
        <f t="shared" si="53"/>
        <v>W:</v>
      </c>
      <c r="J359" s="20" t="s">
        <v>172</v>
      </c>
      <c r="K359" s="21" t="str">
        <f t="shared" si="54"/>
        <v>D:</v>
      </c>
      <c r="L359" s="21" t="s">
        <v>167</v>
      </c>
      <c r="M359" s="22" t="s">
        <v>490</v>
      </c>
      <c r="N359" s="23" t="s">
        <v>491</v>
      </c>
      <c r="O359" s="24">
        <v>400</v>
      </c>
      <c r="P359" s="25"/>
      <c r="Q359" s="26" t="str">
        <f t="shared" si="55"/>
        <v>Base Estructural H:400 / W:1120D:400 mm</v>
      </c>
    </row>
    <row r="360" spans="1:17" ht="20" customHeight="1" outlineLevel="1" x14ac:dyDescent="0.65">
      <c r="A360" s="14"/>
      <c r="B360" s="63" t="str">
        <f t="shared" si="56"/>
        <v>1160BaEH4</v>
      </c>
      <c r="C360" s="64" t="s">
        <v>471</v>
      </c>
      <c r="D360" s="70" t="s">
        <v>505</v>
      </c>
      <c r="E360" s="66"/>
      <c r="F360" s="67"/>
      <c r="G360" s="19" t="str">
        <f t="shared" si="52"/>
        <v/>
      </c>
      <c r="H360" s="58"/>
      <c r="I360" s="20" t="str">
        <f t="shared" si="53"/>
        <v>W:</v>
      </c>
      <c r="J360" s="20" t="s">
        <v>172</v>
      </c>
      <c r="K360" s="21" t="str">
        <f t="shared" si="54"/>
        <v>D:</v>
      </c>
      <c r="L360" s="21" t="s">
        <v>493</v>
      </c>
      <c r="M360" s="22" t="s">
        <v>490</v>
      </c>
      <c r="N360" s="23" t="s">
        <v>491</v>
      </c>
      <c r="O360" s="24">
        <v>400</v>
      </c>
      <c r="P360" s="25"/>
      <c r="Q360" s="26" t="str">
        <f t="shared" si="55"/>
        <v>Base Estructural H:400 / W:1120D:600 mm</v>
      </c>
    </row>
    <row r="361" spans="1:17" ht="20" customHeight="1" outlineLevel="1" x14ac:dyDescent="0.65">
      <c r="A361" s="14"/>
      <c r="B361" s="63" t="str">
        <f t="shared" si="56"/>
        <v>1110BaEH4</v>
      </c>
      <c r="C361" s="64" t="s">
        <v>471</v>
      </c>
      <c r="D361" s="70" t="s">
        <v>506</v>
      </c>
      <c r="E361" s="66"/>
      <c r="F361" s="67"/>
      <c r="G361" s="19" t="str">
        <f t="shared" si="52"/>
        <v/>
      </c>
      <c r="H361" s="58"/>
      <c r="I361" s="20" t="str">
        <f t="shared" si="53"/>
        <v>W:</v>
      </c>
      <c r="J361" s="20" t="s">
        <v>172</v>
      </c>
      <c r="K361" s="21" t="str">
        <f t="shared" si="54"/>
        <v>D:</v>
      </c>
      <c r="L361" s="21" t="s">
        <v>495</v>
      </c>
      <c r="M361" s="22" t="s">
        <v>490</v>
      </c>
      <c r="N361" s="23" t="s">
        <v>491</v>
      </c>
      <c r="O361" s="24">
        <v>400</v>
      </c>
      <c r="P361" s="25"/>
      <c r="Q361" s="26" t="str">
        <f t="shared" si="55"/>
        <v>Base Estructural H:400 / W:1120D:1000 mm</v>
      </c>
    </row>
    <row r="362" spans="1:17" ht="20" customHeight="1" x14ac:dyDescent="0.65">
      <c r="B362" s="45" t="str">
        <f t="shared" si="51"/>
        <v/>
      </c>
      <c r="C362" s="1"/>
      <c r="M362" s="1"/>
      <c r="N362" s="1"/>
      <c r="O362" s="1"/>
      <c r="P362" s="1"/>
      <c r="Q362" s="46"/>
    </row>
    <row r="363" spans="1:17" ht="20" customHeight="1" outlineLevel="1" x14ac:dyDescent="0.65">
      <c r="A363" s="14">
        <v>325</v>
      </c>
      <c r="B363" s="15" t="str">
        <f t="shared" si="51"/>
        <v>40ZoL</v>
      </c>
      <c r="C363" s="16" t="s">
        <v>507</v>
      </c>
      <c r="D363" s="48" t="s">
        <v>508</v>
      </c>
      <c r="E363" s="57"/>
      <c r="F363" s="57"/>
      <c r="G363" s="19" t="str">
        <f t="shared" si="52"/>
        <v/>
      </c>
      <c r="H363" s="58"/>
      <c r="I363" s="20" t="str">
        <f t="shared" si="53"/>
        <v/>
      </c>
      <c r="J363" s="68"/>
      <c r="K363" s="21" t="str">
        <f t="shared" si="54"/>
        <v>D:</v>
      </c>
      <c r="L363" s="21">
        <v>400</v>
      </c>
      <c r="M363" s="22" t="s">
        <v>509</v>
      </c>
      <c r="N363" s="23"/>
      <c r="O363" s="24"/>
      <c r="P363" s="25"/>
      <c r="Q363" s="26" t="str">
        <f t="shared" si="55"/>
        <v>Zocalo Lateral / D:400 mm</v>
      </c>
    </row>
    <row r="364" spans="1:17" ht="20" customHeight="1" outlineLevel="1" x14ac:dyDescent="0.65">
      <c r="A364" s="14">
        <v>326</v>
      </c>
      <c r="B364" s="15" t="str">
        <f t="shared" si="51"/>
        <v>60ZoL</v>
      </c>
      <c r="C364" s="16" t="s">
        <v>507</v>
      </c>
      <c r="D364" s="48" t="s">
        <v>510</v>
      </c>
      <c r="E364" s="57"/>
      <c r="F364" s="57"/>
      <c r="G364" s="19" t="str">
        <f t="shared" si="52"/>
        <v/>
      </c>
      <c r="H364" s="58"/>
      <c r="I364" s="20" t="str">
        <f t="shared" si="53"/>
        <v/>
      </c>
      <c r="J364" s="68"/>
      <c r="K364" s="21" t="str">
        <f t="shared" si="54"/>
        <v>D:</v>
      </c>
      <c r="L364" s="21">
        <v>600</v>
      </c>
      <c r="M364" s="22" t="s">
        <v>509</v>
      </c>
      <c r="N364" s="23"/>
      <c r="O364" s="24"/>
      <c r="P364" s="25"/>
      <c r="Q364" s="26" t="str">
        <f t="shared" si="55"/>
        <v>Zocalo Lateral / D:600 mm</v>
      </c>
    </row>
    <row r="365" spans="1:17" ht="20" customHeight="1" outlineLevel="1" x14ac:dyDescent="0.65">
      <c r="A365" s="14">
        <v>327</v>
      </c>
      <c r="B365" s="15" t="str">
        <f t="shared" si="51"/>
        <v>10ZoL</v>
      </c>
      <c r="C365" s="16" t="s">
        <v>507</v>
      </c>
      <c r="D365" s="48" t="s">
        <v>511</v>
      </c>
      <c r="E365" s="57"/>
      <c r="F365" s="57"/>
      <c r="G365" s="19" t="str">
        <f t="shared" si="52"/>
        <v/>
      </c>
      <c r="H365" s="58"/>
      <c r="I365" s="20" t="str">
        <f t="shared" si="53"/>
        <v/>
      </c>
      <c r="J365" s="68"/>
      <c r="K365" s="21" t="str">
        <f t="shared" si="54"/>
        <v>D:</v>
      </c>
      <c r="L365" s="21">
        <v>1000</v>
      </c>
      <c r="M365" s="22" t="s">
        <v>509</v>
      </c>
      <c r="N365" s="23"/>
      <c r="O365" s="24"/>
      <c r="P365" s="25"/>
      <c r="Q365" s="26" t="str">
        <f t="shared" si="55"/>
        <v>Zocalo Lateral / D:1000 mm</v>
      </c>
    </row>
    <row r="366" spans="1:17" ht="20" customHeight="1" outlineLevel="1" x14ac:dyDescent="0.65">
      <c r="A366" s="14">
        <v>328</v>
      </c>
      <c r="B366" s="15" t="str">
        <f t="shared" si="51"/>
        <v>20ZoF</v>
      </c>
      <c r="C366" s="16" t="s">
        <v>507</v>
      </c>
      <c r="D366" s="48" t="s">
        <v>512</v>
      </c>
      <c r="E366" s="57"/>
      <c r="F366" s="57"/>
      <c r="G366" s="19" t="str">
        <f t="shared" si="52"/>
        <v/>
      </c>
      <c r="H366" s="58"/>
      <c r="I366" s="20" t="str">
        <f t="shared" si="53"/>
        <v>W:</v>
      </c>
      <c r="J366" s="20">
        <v>200</v>
      </c>
      <c r="K366" s="21" t="str">
        <f t="shared" si="54"/>
        <v/>
      </c>
      <c r="L366" s="69"/>
      <c r="M366" s="22" t="s">
        <v>513</v>
      </c>
      <c r="N366" s="23"/>
      <c r="O366" s="24"/>
      <c r="P366" s="25"/>
      <c r="Q366" s="26" t="str">
        <f t="shared" si="55"/>
        <v>Zocalo Frontal / W:200 mm</v>
      </c>
    </row>
    <row r="367" spans="1:17" ht="20" customHeight="1" outlineLevel="1" x14ac:dyDescent="0.65">
      <c r="A367" s="14">
        <v>329</v>
      </c>
      <c r="B367" s="15" t="str">
        <f t="shared" si="51"/>
        <v>40ZoF</v>
      </c>
      <c r="C367" s="16" t="s">
        <v>507</v>
      </c>
      <c r="D367" s="48" t="s">
        <v>508</v>
      </c>
      <c r="E367" s="57"/>
      <c r="F367" s="57"/>
      <c r="G367" s="19" t="str">
        <f t="shared" si="52"/>
        <v/>
      </c>
      <c r="H367" s="58"/>
      <c r="I367" s="20" t="str">
        <f t="shared" si="53"/>
        <v>W:</v>
      </c>
      <c r="J367" s="20">
        <v>400</v>
      </c>
      <c r="K367" s="21" t="str">
        <f t="shared" si="54"/>
        <v/>
      </c>
      <c r="L367" s="69"/>
      <c r="M367" s="22" t="s">
        <v>513</v>
      </c>
      <c r="N367" s="23"/>
      <c r="O367" s="24"/>
      <c r="P367" s="25"/>
      <c r="Q367" s="26" t="str">
        <f t="shared" si="55"/>
        <v>Zocalo Frontal / W:400 mm</v>
      </c>
    </row>
    <row r="368" spans="1:17" ht="20" customHeight="1" outlineLevel="1" x14ac:dyDescent="0.65">
      <c r="A368" s="14">
        <v>330</v>
      </c>
      <c r="B368" s="15" t="str">
        <f t="shared" si="51"/>
        <v>72ZoF</v>
      </c>
      <c r="C368" s="16" t="s">
        <v>507</v>
      </c>
      <c r="D368" s="48" t="s">
        <v>514</v>
      </c>
      <c r="E368" s="57"/>
      <c r="F368" s="57"/>
      <c r="G368" s="19" t="str">
        <f t="shared" si="52"/>
        <v/>
      </c>
      <c r="H368" s="58"/>
      <c r="I368" s="20" t="str">
        <f t="shared" si="53"/>
        <v>W:</v>
      </c>
      <c r="J368" s="20">
        <v>720</v>
      </c>
      <c r="K368" s="21" t="str">
        <f t="shared" si="54"/>
        <v/>
      </c>
      <c r="L368" s="69"/>
      <c r="M368" s="22" t="s">
        <v>513</v>
      </c>
      <c r="N368" s="23"/>
      <c r="O368" s="24"/>
      <c r="P368" s="25"/>
      <c r="Q368" s="26" t="str">
        <f t="shared" si="55"/>
        <v>Zocalo Frontal / W:720 mm</v>
      </c>
    </row>
    <row r="369" spans="1:17" ht="20" customHeight="1" outlineLevel="1" x14ac:dyDescent="0.65">
      <c r="A369" s="14">
        <v>331</v>
      </c>
      <c r="B369" s="15" t="str">
        <f t="shared" si="51"/>
        <v>80ZoF</v>
      </c>
      <c r="C369" s="16" t="s">
        <v>507</v>
      </c>
      <c r="D369" s="48" t="s">
        <v>515</v>
      </c>
      <c r="E369" s="57"/>
      <c r="F369" s="57"/>
      <c r="G369" s="19" t="str">
        <f t="shared" si="52"/>
        <v/>
      </c>
      <c r="H369" s="58"/>
      <c r="I369" s="20" t="str">
        <f t="shared" si="53"/>
        <v>W:</v>
      </c>
      <c r="J369" s="20">
        <v>800</v>
      </c>
      <c r="K369" s="21" t="str">
        <f t="shared" si="54"/>
        <v/>
      </c>
      <c r="L369" s="69"/>
      <c r="M369" s="22" t="s">
        <v>513</v>
      </c>
      <c r="N369" s="23"/>
      <c r="O369" s="24"/>
      <c r="P369" s="25"/>
      <c r="Q369" s="26" t="str">
        <f t="shared" si="55"/>
        <v>Zocalo Frontal / W:800 mm</v>
      </c>
    </row>
    <row r="370" spans="1:17" ht="20" customHeight="1" outlineLevel="1" x14ac:dyDescent="0.65">
      <c r="A370" s="14">
        <v>332</v>
      </c>
      <c r="B370" s="15" t="str">
        <f t="shared" si="51"/>
        <v>11ZoF</v>
      </c>
      <c r="C370" s="16" t="s">
        <v>507</v>
      </c>
      <c r="D370" s="48" t="s">
        <v>516</v>
      </c>
      <c r="E370" s="57"/>
      <c r="F370" s="57"/>
      <c r="G370" s="19" t="str">
        <f t="shared" si="52"/>
        <v/>
      </c>
      <c r="H370" s="58"/>
      <c r="I370" s="20" t="str">
        <f t="shared" si="53"/>
        <v>W:</v>
      </c>
      <c r="J370" s="20">
        <v>1120</v>
      </c>
      <c r="K370" s="21" t="str">
        <f t="shared" si="54"/>
        <v/>
      </c>
      <c r="L370" s="69"/>
      <c r="M370" s="22" t="s">
        <v>513</v>
      </c>
      <c r="N370" s="23"/>
      <c r="O370" s="24"/>
      <c r="P370" s="25"/>
      <c r="Q370" s="26" t="str">
        <f t="shared" si="55"/>
        <v>Zocalo Frontal / W:1120 mm</v>
      </c>
    </row>
    <row r="371" spans="1:17" ht="20" customHeight="1" x14ac:dyDescent="0.65">
      <c r="B371" s="45" t="str">
        <f t="shared" si="51"/>
        <v/>
      </c>
      <c r="C371" s="1"/>
      <c r="M371" s="1"/>
      <c r="N371" s="1"/>
      <c r="O371" s="1"/>
      <c r="P371" s="1"/>
      <c r="Q371" s="46"/>
    </row>
    <row r="372" spans="1:17" ht="20" customHeight="1" outlineLevel="1" x14ac:dyDescent="0.65">
      <c r="A372" s="14">
        <v>333</v>
      </c>
      <c r="B372" s="15" t="str">
        <f t="shared" si="51"/>
        <v>60PaIV</v>
      </c>
      <c r="C372" s="16" t="s">
        <v>517</v>
      </c>
      <c r="D372" s="48" t="s">
        <v>518</v>
      </c>
      <c r="E372" s="57"/>
      <c r="F372" s="57"/>
      <c r="G372" s="19" t="str">
        <f t="shared" ref="G372:G377" si="57">IF(H372&lt;&gt;"","H:","")</f>
        <v>H:</v>
      </c>
      <c r="H372" s="19">
        <v>600</v>
      </c>
      <c r="I372" s="20" t="str">
        <f t="shared" ref="I372:I377" si="58">IF(J372&lt;&gt;"","W:","")</f>
        <v/>
      </c>
      <c r="J372" s="68"/>
      <c r="K372" s="21" t="str">
        <f t="shared" si="54"/>
        <v/>
      </c>
      <c r="L372" s="69"/>
      <c r="M372" s="22" t="s">
        <v>519</v>
      </c>
      <c r="N372" s="23" t="s">
        <v>80</v>
      </c>
      <c r="O372" s="24"/>
      <c r="P372" s="25"/>
      <c r="Q372" s="26" t="str">
        <f t="shared" si="55"/>
        <v>Paral Interno Vertical / H:600 mm</v>
      </c>
    </row>
    <row r="373" spans="1:17" ht="20" customHeight="1" outlineLevel="1" x14ac:dyDescent="0.65">
      <c r="A373" s="14">
        <v>334</v>
      </c>
      <c r="B373" s="15" t="str">
        <f t="shared" si="51"/>
        <v>10PaIV</v>
      </c>
      <c r="C373" s="16" t="s">
        <v>517</v>
      </c>
      <c r="D373" s="48" t="s">
        <v>520</v>
      </c>
      <c r="E373" s="57"/>
      <c r="F373" s="57"/>
      <c r="G373" s="19" t="str">
        <f t="shared" si="57"/>
        <v>H:</v>
      </c>
      <c r="H373" s="19">
        <v>1000</v>
      </c>
      <c r="I373" s="20" t="str">
        <f t="shared" si="58"/>
        <v/>
      </c>
      <c r="J373" s="68"/>
      <c r="K373" s="21" t="str">
        <f t="shared" si="54"/>
        <v/>
      </c>
      <c r="L373" s="69"/>
      <c r="M373" s="22" t="s">
        <v>519</v>
      </c>
      <c r="N373" s="23" t="s">
        <v>80</v>
      </c>
      <c r="O373" s="24"/>
      <c r="P373" s="25"/>
      <c r="Q373" s="26" t="str">
        <f t="shared" si="55"/>
        <v>Paral Interno Vertical / H:1000 mm</v>
      </c>
    </row>
    <row r="374" spans="1:17" ht="20" customHeight="1" outlineLevel="1" x14ac:dyDescent="0.65">
      <c r="A374" s="14">
        <v>335</v>
      </c>
      <c r="B374" s="15" t="str">
        <f t="shared" si="51"/>
        <v>18PaIVT</v>
      </c>
      <c r="C374" s="16" t="s">
        <v>517</v>
      </c>
      <c r="D374" s="48" t="s">
        <v>521</v>
      </c>
      <c r="E374" s="57"/>
      <c r="F374" s="57"/>
      <c r="G374" s="19" t="str">
        <f t="shared" si="57"/>
        <v>H:</v>
      </c>
      <c r="H374" s="19">
        <v>1800</v>
      </c>
      <c r="I374" s="20" t="str">
        <f t="shared" si="58"/>
        <v/>
      </c>
      <c r="J374" s="68"/>
      <c r="K374" s="21" t="str">
        <f t="shared" si="54"/>
        <v/>
      </c>
      <c r="L374" s="69"/>
      <c r="M374" s="22" t="s">
        <v>519</v>
      </c>
      <c r="N374" s="23" t="s">
        <v>522</v>
      </c>
      <c r="O374" s="24" t="s">
        <v>75</v>
      </c>
      <c r="P374" s="25"/>
      <c r="Q374" s="26" t="str">
        <f t="shared" si="55"/>
        <v>Paral Interno Vertical Total / H:1800 mm</v>
      </c>
    </row>
    <row r="375" spans="1:17" ht="20" customHeight="1" outlineLevel="1" x14ac:dyDescent="0.65">
      <c r="A375" s="14">
        <v>336</v>
      </c>
      <c r="B375" s="15" t="str">
        <f t="shared" si="51"/>
        <v>20PaIVT</v>
      </c>
      <c r="C375" s="16" t="s">
        <v>517</v>
      </c>
      <c r="D375" s="48" t="s">
        <v>523</v>
      </c>
      <c r="E375" s="57"/>
      <c r="F375" s="57"/>
      <c r="G375" s="19" t="str">
        <f t="shared" si="57"/>
        <v>H:</v>
      </c>
      <c r="H375" s="19">
        <v>2000</v>
      </c>
      <c r="I375" s="20" t="str">
        <f t="shared" si="58"/>
        <v/>
      </c>
      <c r="J375" s="68"/>
      <c r="K375" s="21" t="str">
        <f t="shared" si="54"/>
        <v/>
      </c>
      <c r="L375" s="69"/>
      <c r="M375" s="22" t="s">
        <v>519</v>
      </c>
      <c r="N375" s="23" t="s">
        <v>80</v>
      </c>
      <c r="O375" s="24" t="s">
        <v>75</v>
      </c>
      <c r="P375" s="25"/>
      <c r="Q375" s="26" t="str">
        <f t="shared" si="55"/>
        <v>Paral Interno VerticalTotal / H:2000 mm</v>
      </c>
    </row>
    <row r="376" spans="1:17" ht="20" customHeight="1" outlineLevel="1" x14ac:dyDescent="0.65">
      <c r="A376" s="14">
        <v>337</v>
      </c>
      <c r="B376" s="15" t="str">
        <f t="shared" si="51"/>
        <v>22PaIVT</v>
      </c>
      <c r="C376" s="16" t="s">
        <v>517</v>
      </c>
      <c r="D376" s="48" t="s">
        <v>524</v>
      </c>
      <c r="E376" s="57"/>
      <c r="F376" s="57"/>
      <c r="G376" s="19" t="str">
        <f t="shared" si="57"/>
        <v>H:</v>
      </c>
      <c r="H376" s="19">
        <v>2200</v>
      </c>
      <c r="I376" s="20" t="str">
        <f t="shared" si="58"/>
        <v/>
      </c>
      <c r="J376" s="68"/>
      <c r="K376" s="21" t="str">
        <f t="shared" si="54"/>
        <v/>
      </c>
      <c r="L376" s="69"/>
      <c r="M376" s="22" t="s">
        <v>519</v>
      </c>
      <c r="N376" s="23" t="s">
        <v>80</v>
      </c>
      <c r="O376" s="24" t="s">
        <v>75</v>
      </c>
      <c r="P376" s="25"/>
      <c r="Q376" s="26" t="str">
        <f t="shared" si="55"/>
        <v>Paral Interno VerticalTotal / H:2200 mm</v>
      </c>
    </row>
    <row r="377" spans="1:17" ht="20" customHeight="1" outlineLevel="1" x14ac:dyDescent="0.65">
      <c r="A377" s="14">
        <v>338</v>
      </c>
      <c r="B377" s="15" t="str">
        <f t="shared" si="51"/>
        <v>90PaIV</v>
      </c>
      <c r="C377" s="16" t="s">
        <v>517</v>
      </c>
      <c r="D377" s="48" t="s">
        <v>525</v>
      </c>
      <c r="E377" s="57"/>
      <c r="F377" s="57"/>
      <c r="G377" s="19" t="str">
        <f t="shared" si="57"/>
        <v>H:</v>
      </c>
      <c r="H377" s="19">
        <v>900</v>
      </c>
      <c r="I377" s="20" t="str">
        <f t="shared" si="58"/>
        <v/>
      </c>
      <c r="J377" s="68"/>
      <c r="K377" s="21" t="str">
        <f t="shared" si="54"/>
        <v/>
      </c>
      <c r="L377" s="69"/>
      <c r="M377" s="22" t="s">
        <v>519</v>
      </c>
      <c r="N377" s="23" t="s">
        <v>80</v>
      </c>
      <c r="O377" s="24"/>
      <c r="P377" s="25"/>
      <c r="Q377" s="26" t="str">
        <f t="shared" si="55"/>
        <v>Paral Interno Vertical / H:900 mm</v>
      </c>
    </row>
    <row r="378" spans="1:17" ht="20" customHeight="1" outlineLevel="1" x14ac:dyDescent="0.65">
      <c r="A378" s="14">
        <v>339</v>
      </c>
      <c r="B378" s="15" t="str">
        <f t="shared" si="51"/>
        <v>60PaIH</v>
      </c>
      <c r="C378" s="16" t="s">
        <v>517</v>
      </c>
      <c r="D378" s="49">
        <v>10285</v>
      </c>
      <c r="E378" s="57"/>
      <c r="F378" s="57"/>
      <c r="G378" s="19" t="str">
        <f t="shared" si="52"/>
        <v/>
      </c>
      <c r="H378" s="58"/>
      <c r="I378" s="20" t="str">
        <f t="shared" si="53"/>
        <v>W:</v>
      </c>
      <c r="J378" s="20">
        <v>600</v>
      </c>
      <c r="K378" s="21" t="str">
        <f t="shared" si="54"/>
        <v/>
      </c>
      <c r="L378" s="69"/>
      <c r="M378" s="22" t="s">
        <v>519</v>
      </c>
      <c r="N378" s="23" t="s">
        <v>84</v>
      </c>
      <c r="O378" s="24"/>
      <c r="P378" s="25"/>
      <c r="Q378" s="26" t="str">
        <f t="shared" si="55"/>
        <v>Paral Interno Horizontal / W:600 mm</v>
      </c>
    </row>
    <row r="379" spans="1:17" ht="20" customHeight="1" x14ac:dyDescent="0.65">
      <c r="B379" s="45" t="str">
        <f t="shared" si="51"/>
        <v/>
      </c>
      <c r="C379" s="1"/>
      <c r="M379" s="1"/>
      <c r="N379" s="1"/>
      <c r="O379" s="1"/>
      <c r="P379" s="1"/>
      <c r="Q379" s="46"/>
    </row>
    <row r="380" spans="1:17" ht="20" customHeight="1" outlineLevel="1" x14ac:dyDescent="0.65">
      <c r="A380" s="14">
        <v>340</v>
      </c>
      <c r="B380" s="15" t="str">
        <f t="shared" si="51"/>
        <v>40DuC</v>
      </c>
      <c r="C380" s="16" t="s">
        <v>526</v>
      </c>
      <c r="D380" s="48" t="s">
        <v>527</v>
      </c>
      <c r="E380" s="57"/>
      <c r="F380" s="57"/>
      <c r="G380" s="19" t="str">
        <f t="shared" si="52"/>
        <v/>
      </c>
      <c r="H380" s="58"/>
      <c r="I380" s="20" t="str">
        <f t="shared" si="53"/>
        <v>W:</v>
      </c>
      <c r="J380" s="20">
        <v>400</v>
      </c>
      <c r="K380" s="21" t="str">
        <f t="shared" si="54"/>
        <v/>
      </c>
      <c r="L380" s="69"/>
      <c r="M380" s="22" t="s">
        <v>528</v>
      </c>
      <c r="N380" s="23"/>
      <c r="O380" s="24"/>
      <c r="P380" s="25"/>
      <c r="Q380" s="26" t="str">
        <f t="shared" si="55"/>
        <v>Ducto Cables / W:400 mm</v>
      </c>
    </row>
    <row r="381" spans="1:17" ht="20" customHeight="1" outlineLevel="1" x14ac:dyDescent="0.65">
      <c r="A381" s="14">
        <v>341</v>
      </c>
      <c r="B381" s="15" t="str">
        <f t="shared" si="51"/>
        <v>72DuC</v>
      </c>
      <c r="C381" s="16" t="s">
        <v>526</v>
      </c>
      <c r="D381" s="48" t="s">
        <v>529</v>
      </c>
      <c r="E381" s="57"/>
      <c r="F381" s="57"/>
      <c r="G381" s="19" t="str">
        <f t="shared" si="52"/>
        <v/>
      </c>
      <c r="H381" s="58"/>
      <c r="I381" s="20" t="str">
        <f t="shared" si="53"/>
        <v>W:</v>
      </c>
      <c r="J381" s="20">
        <v>720</v>
      </c>
      <c r="K381" s="21" t="str">
        <f t="shared" si="54"/>
        <v/>
      </c>
      <c r="L381" s="69"/>
      <c r="M381" s="22" t="s">
        <v>528</v>
      </c>
      <c r="N381" s="23"/>
      <c r="O381" s="24"/>
      <c r="P381" s="25"/>
      <c r="Q381" s="26" t="str">
        <f t="shared" si="55"/>
        <v>Ducto Cables / W:720 mm</v>
      </c>
    </row>
    <row r="382" spans="1:17" ht="20" customHeight="1" outlineLevel="1" x14ac:dyDescent="0.65">
      <c r="A382" s="14">
        <v>342</v>
      </c>
      <c r="B382" s="15" t="str">
        <f t="shared" si="51"/>
        <v>80DuC</v>
      </c>
      <c r="C382" s="16" t="s">
        <v>526</v>
      </c>
      <c r="D382" s="48" t="s">
        <v>530</v>
      </c>
      <c r="E382" s="57"/>
      <c r="F382" s="57"/>
      <c r="G382" s="19" t="str">
        <f t="shared" si="52"/>
        <v/>
      </c>
      <c r="H382" s="58"/>
      <c r="I382" s="20" t="str">
        <f t="shared" si="53"/>
        <v>W:</v>
      </c>
      <c r="J382" s="20">
        <v>800</v>
      </c>
      <c r="K382" s="21" t="str">
        <f t="shared" si="54"/>
        <v/>
      </c>
      <c r="L382" s="69"/>
      <c r="M382" s="22" t="s">
        <v>528</v>
      </c>
      <c r="N382" s="23"/>
      <c r="O382" s="24"/>
      <c r="P382" s="25"/>
      <c r="Q382" s="26" t="str">
        <f t="shared" si="55"/>
        <v>Ducto Cables / W:800 mm</v>
      </c>
    </row>
    <row r="383" spans="1:17" ht="20" customHeight="1" outlineLevel="1" x14ac:dyDescent="0.65">
      <c r="A383" s="14">
        <v>343</v>
      </c>
      <c r="B383" s="15" t="str">
        <f t="shared" si="51"/>
        <v>11DuC</v>
      </c>
      <c r="C383" s="16" t="s">
        <v>526</v>
      </c>
      <c r="D383" s="48" t="s">
        <v>531</v>
      </c>
      <c r="E383" s="57"/>
      <c r="F383" s="57"/>
      <c r="G383" s="19" t="str">
        <f t="shared" si="52"/>
        <v/>
      </c>
      <c r="H383" s="58"/>
      <c r="I383" s="20" t="str">
        <f t="shared" si="53"/>
        <v>W:</v>
      </c>
      <c r="J383" s="20">
        <v>1120</v>
      </c>
      <c r="K383" s="21" t="str">
        <f t="shared" si="54"/>
        <v/>
      </c>
      <c r="L383" s="69"/>
      <c r="M383" s="22" t="s">
        <v>528</v>
      </c>
      <c r="N383" s="23"/>
      <c r="O383" s="24"/>
      <c r="P383" s="25"/>
      <c r="Q383" s="26" t="str">
        <f t="shared" si="55"/>
        <v>Ducto Cables / W:1120 mm</v>
      </c>
    </row>
    <row r="384" spans="1:17" ht="20" customHeight="1" x14ac:dyDescent="0.65">
      <c r="B384" s="45" t="str">
        <f t="shared" si="51"/>
        <v/>
      </c>
      <c r="C384" s="1"/>
      <c r="M384" s="1"/>
      <c r="N384" s="1"/>
      <c r="O384" s="1"/>
      <c r="P384" s="1"/>
      <c r="Q384" s="46"/>
    </row>
    <row r="385" spans="1:17" ht="20" customHeight="1" outlineLevel="1" x14ac:dyDescent="0.65">
      <c r="A385" s="14">
        <v>344</v>
      </c>
      <c r="B385" s="15" t="str">
        <f t="shared" si="51"/>
        <v>KiUP</v>
      </c>
      <c r="C385" s="16" t="s">
        <v>532</v>
      </c>
      <c r="D385" s="48" t="s">
        <v>533</v>
      </c>
      <c r="E385" s="57"/>
      <c r="F385" s="57"/>
      <c r="G385" s="19" t="str">
        <f t="shared" si="52"/>
        <v/>
      </c>
      <c r="H385" s="58"/>
      <c r="I385" s="20" t="str">
        <f t="shared" si="53"/>
        <v/>
      </c>
      <c r="J385" s="68"/>
      <c r="K385" s="21" t="str">
        <f t="shared" si="54"/>
        <v/>
      </c>
      <c r="L385" s="69"/>
      <c r="M385" s="22" t="s">
        <v>534</v>
      </c>
      <c r="N385" s="23" t="s">
        <v>96</v>
      </c>
      <c r="O385" s="24"/>
      <c r="P385" s="25"/>
      <c r="Q385" s="26" t="str">
        <f>IF(B385&lt;&gt;"",(C385&amp;M385&amp;N385&amp;O385&amp;P385&amp;G385&amp;H385&amp;I385&amp;J385&amp;K385&amp;L385),"")</f>
        <v>Kit Union Posterior</v>
      </c>
    </row>
    <row r="386" spans="1:17" ht="20" customHeight="1" outlineLevel="1" x14ac:dyDescent="0.65">
      <c r="B386" s="45" t="str">
        <f t="shared" si="51"/>
        <v/>
      </c>
      <c r="C386" s="1"/>
      <c r="M386" s="1"/>
      <c r="N386" s="1"/>
      <c r="O386" s="1"/>
      <c r="P386" s="1"/>
      <c r="Q386" s="46"/>
    </row>
    <row r="387" spans="1:17" ht="20" customHeight="1" outlineLevel="2" x14ac:dyDescent="0.65">
      <c r="A387" s="14">
        <v>345</v>
      </c>
      <c r="B387" s="15" t="str">
        <f t="shared" si="51"/>
        <v>1820SeF</v>
      </c>
      <c r="C387" s="16" t="s">
        <v>535</v>
      </c>
      <c r="D387" s="48" t="s">
        <v>536</v>
      </c>
      <c r="E387" s="57"/>
      <c r="F387" s="57"/>
      <c r="G387" s="19" t="str">
        <f t="shared" si="52"/>
        <v>H:</v>
      </c>
      <c r="H387" s="19">
        <v>1800</v>
      </c>
      <c r="I387" s="20" t="str">
        <f t="shared" si="53"/>
        <v>W:</v>
      </c>
      <c r="J387" s="20">
        <v>200</v>
      </c>
      <c r="K387" s="21" t="str">
        <f t="shared" si="54"/>
        <v/>
      </c>
      <c r="L387" s="69"/>
      <c r="M387" s="22" t="s">
        <v>537</v>
      </c>
      <c r="N387" s="23"/>
      <c r="O387" s="24"/>
      <c r="P387" s="25"/>
      <c r="Q387" s="26" t="str">
        <f t="shared" si="55"/>
        <v>Segregacion Frontal* / H:1800W:200 mm</v>
      </c>
    </row>
    <row r="388" spans="1:17" ht="20" customHeight="1" outlineLevel="2" x14ac:dyDescent="0.65">
      <c r="A388" s="14">
        <v>346</v>
      </c>
      <c r="B388" s="15" t="str">
        <f t="shared" si="51"/>
        <v>2020SeF</v>
      </c>
      <c r="C388" s="16" t="s">
        <v>535</v>
      </c>
      <c r="D388" s="48" t="s">
        <v>538</v>
      </c>
      <c r="E388" s="57"/>
      <c r="F388" s="57"/>
      <c r="G388" s="19" t="str">
        <f t="shared" si="52"/>
        <v>H:</v>
      </c>
      <c r="H388" s="19">
        <v>2000</v>
      </c>
      <c r="I388" s="20" t="str">
        <f t="shared" si="53"/>
        <v>W:</v>
      </c>
      <c r="J388" s="20">
        <v>200</v>
      </c>
      <c r="K388" s="21" t="str">
        <f t="shared" si="54"/>
        <v/>
      </c>
      <c r="L388" s="69"/>
      <c r="M388" s="22" t="s">
        <v>537</v>
      </c>
      <c r="N388" s="23"/>
      <c r="O388" s="24"/>
      <c r="P388" s="25"/>
      <c r="Q388" s="26" t="str">
        <f t="shared" si="55"/>
        <v>Segregacion Frontal* / H:2000W:200 mm</v>
      </c>
    </row>
    <row r="389" spans="1:17" ht="20" customHeight="1" outlineLevel="2" x14ac:dyDescent="0.65">
      <c r="A389" s="14">
        <v>347</v>
      </c>
      <c r="B389" s="15" t="str">
        <f t="shared" si="51"/>
        <v>2220SeF</v>
      </c>
      <c r="C389" s="16" t="s">
        <v>535</v>
      </c>
      <c r="D389" s="48" t="s">
        <v>539</v>
      </c>
      <c r="E389" s="57"/>
      <c r="F389" s="57"/>
      <c r="G389" s="19" t="str">
        <f t="shared" si="52"/>
        <v>H:</v>
      </c>
      <c r="H389" s="19">
        <v>2200</v>
      </c>
      <c r="I389" s="20" t="str">
        <f t="shared" si="53"/>
        <v>W:</v>
      </c>
      <c r="J389" s="20">
        <v>200</v>
      </c>
      <c r="K389" s="21" t="str">
        <f t="shared" si="54"/>
        <v/>
      </c>
      <c r="L389" s="69"/>
      <c r="M389" s="22" t="s">
        <v>537</v>
      </c>
      <c r="N389" s="23"/>
      <c r="O389" s="24"/>
      <c r="P389" s="25"/>
      <c r="Q389" s="26" t="str">
        <f t="shared" si="55"/>
        <v>Segregacion Frontal* / H:2200W:200 mm</v>
      </c>
    </row>
    <row r="390" spans="1:17" ht="20" customHeight="1" outlineLevel="2" x14ac:dyDescent="0.65">
      <c r="A390" s="14">
        <v>348</v>
      </c>
      <c r="B390" s="15" t="str">
        <f t="shared" si="51"/>
        <v>1840SeF</v>
      </c>
      <c r="C390" s="16" t="s">
        <v>535</v>
      </c>
      <c r="D390" s="48" t="s">
        <v>540</v>
      </c>
      <c r="E390" s="57"/>
      <c r="F390" s="57"/>
      <c r="G390" s="19" t="str">
        <f t="shared" si="52"/>
        <v>H:</v>
      </c>
      <c r="H390" s="19">
        <v>1800</v>
      </c>
      <c r="I390" s="20" t="str">
        <f t="shared" si="53"/>
        <v>W:</v>
      </c>
      <c r="J390" s="20">
        <v>400</v>
      </c>
      <c r="K390" s="21" t="str">
        <f t="shared" si="54"/>
        <v/>
      </c>
      <c r="L390" s="69"/>
      <c r="M390" s="22" t="s">
        <v>537</v>
      </c>
      <c r="N390" s="23"/>
      <c r="O390" s="24"/>
      <c r="P390" s="25"/>
      <c r="Q390" s="26" t="str">
        <f t="shared" si="55"/>
        <v>Segregacion Frontal* / H:1800W:400 mm</v>
      </c>
    </row>
    <row r="391" spans="1:17" ht="20" customHeight="1" outlineLevel="2" x14ac:dyDescent="0.65">
      <c r="A391" s="14">
        <v>349</v>
      </c>
      <c r="B391" s="15" t="str">
        <f t="shared" si="51"/>
        <v>2040SeF</v>
      </c>
      <c r="C391" s="16" t="s">
        <v>535</v>
      </c>
      <c r="D391" s="48" t="s">
        <v>541</v>
      </c>
      <c r="E391" s="57"/>
      <c r="F391" s="57"/>
      <c r="G391" s="19" t="str">
        <f t="shared" si="52"/>
        <v>H:</v>
      </c>
      <c r="H391" s="19">
        <v>2000</v>
      </c>
      <c r="I391" s="20" t="str">
        <f t="shared" si="53"/>
        <v>W:</v>
      </c>
      <c r="J391" s="20">
        <v>400</v>
      </c>
      <c r="K391" s="21" t="str">
        <f t="shared" si="54"/>
        <v/>
      </c>
      <c r="L391" s="69"/>
      <c r="M391" s="22" t="s">
        <v>537</v>
      </c>
      <c r="N391" s="23"/>
      <c r="O391" s="24"/>
      <c r="P391" s="25"/>
      <c r="Q391" s="26" t="str">
        <f t="shared" si="55"/>
        <v>Segregacion Frontal* / H:2000W:400 mm</v>
      </c>
    </row>
    <row r="392" spans="1:17" ht="20" customHeight="1" outlineLevel="2" x14ac:dyDescent="0.65">
      <c r="A392" s="14">
        <v>350</v>
      </c>
      <c r="B392" s="15" t="str">
        <f t="shared" si="51"/>
        <v>2240SeF</v>
      </c>
      <c r="C392" s="16" t="s">
        <v>535</v>
      </c>
      <c r="D392" s="48" t="s">
        <v>542</v>
      </c>
      <c r="E392" s="57"/>
      <c r="F392" s="57"/>
      <c r="G392" s="19" t="str">
        <f t="shared" si="52"/>
        <v>H:</v>
      </c>
      <c r="H392" s="19">
        <v>2200</v>
      </c>
      <c r="I392" s="20" t="str">
        <f t="shared" si="53"/>
        <v>W:</v>
      </c>
      <c r="J392" s="20">
        <v>400</v>
      </c>
      <c r="K392" s="21" t="str">
        <f t="shared" si="54"/>
        <v/>
      </c>
      <c r="L392" s="69"/>
      <c r="M392" s="22" t="s">
        <v>537</v>
      </c>
      <c r="N392" s="23"/>
      <c r="O392" s="24"/>
      <c r="P392" s="25"/>
      <c r="Q392" s="26" t="str">
        <f t="shared" si="55"/>
        <v>Segregacion Frontal* / H:2200W:400 mm</v>
      </c>
    </row>
    <row r="393" spans="1:17" ht="20" customHeight="1" outlineLevel="1" x14ac:dyDescent="0.65">
      <c r="B393" s="45" t="str">
        <f t="shared" si="51"/>
        <v/>
      </c>
      <c r="C393" s="1"/>
      <c r="M393" s="1"/>
      <c r="N393" s="1"/>
      <c r="O393" s="1"/>
      <c r="P393" s="1"/>
      <c r="Q393" s="46"/>
    </row>
    <row r="394" spans="1:17" ht="20" customHeight="1" outlineLevel="2" x14ac:dyDescent="0.65">
      <c r="A394" s="14">
        <v>351</v>
      </c>
      <c r="B394" s="15" t="str">
        <f t="shared" si="51"/>
        <v>CaE</v>
      </c>
      <c r="C394" s="16" t="s">
        <v>543</v>
      </c>
      <c r="D394" s="48" t="s">
        <v>544</v>
      </c>
      <c r="E394" s="57"/>
      <c r="F394" s="57"/>
      <c r="G394" s="19" t="str">
        <f t="shared" si="52"/>
        <v/>
      </c>
      <c r="H394" s="58"/>
      <c r="I394" s="20" t="str">
        <f t="shared" si="53"/>
        <v/>
      </c>
      <c r="J394" s="68"/>
      <c r="K394" s="21" t="str">
        <f t="shared" si="54"/>
        <v/>
      </c>
      <c r="L394" s="69"/>
      <c r="M394" s="22" t="s">
        <v>545</v>
      </c>
      <c r="N394" s="23"/>
      <c r="O394" s="24"/>
      <c r="P394" s="25"/>
      <c r="Q394" s="26" t="str">
        <f>IF(B394&lt;&gt;"",(C394&amp;M394&amp;N394&amp;O394&amp;P394&amp;G394&amp;H394&amp;I394&amp;J394&amp;K394&amp;L394),"")</f>
        <v>Cancamo Estandar</v>
      </c>
    </row>
    <row r="395" spans="1:17" ht="20" customHeight="1" outlineLevel="2" x14ac:dyDescent="0.65">
      <c r="A395" s="14">
        <v>352</v>
      </c>
      <c r="B395" s="15" t="str">
        <f t="shared" si="51"/>
        <v>AnI</v>
      </c>
      <c r="C395" s="16" t="s">
        <v>546</v>
      </c>
      <c r="D395" s="48" t="s">
        <v>547</v>
      </c>
      <c r="E395" s="57"/>
      <c r="F395" s="57"/>
      <c r="G395" s="19" t="str">
        <f t="shared" si="52"/>
        <v/>
      </c>
      <c r="H395" s="58"/>
      <c r="I395" s="20" t="str">
        <f t="shared" si="53"/>
        <v/>
      </c>
      <c r="J395" s="68"/>
      <c r="K395" s="21" t="str">
        <f t="shared" si="54"/>
        <v/>
      </c>
      <c r="L395" s="69"/>
      <c r="M395" s="22" t="s">
        <v>548</v>
      </c>
      <c r="N395" s="23"/>
      <c r="O395" s="24"/>
      <c r="P395" s="25"/>
      <c r="Q395" s="26" t="str">
        <f>IF(B395&lt;&gt;"",(C395&amp;M395&amp;N395&amp;O395&amp;P395&amp;G395&amp;H395&amp;I395&amp;J395&amp;K395&amp;L395),"")</f>
        <v xml:space="preserve">Angulo Izaje </v>
      </c>
    </row>
    <row r="396" spans="1:17" ht="20" customHeight="1" outlineLevel="1" x14ac:dyDescent="0.65">
      <c r="B396" s="45" t="str">
        <f t="shared" si="51"/>
        <v/>
      </c>
      <c r="C396" s="1"/>
      <c r="M396" s="1"/>
      <c r="N396" s="1"/>
      <c r="O396" s="1"/>
      <c r="P396" s="1"/>
      <c r="Q396" s="46"/>
    </row>
    <row r="397" spans="1:17" ht="20" customHeight="1" outlineLevel="2" x14ac:dyDescent="0.65">
      <c r="A397" s="14">
        <v>353</v>
      </c>
      <c r="B397" s="15" t="str">
        <f t="shared" si="51"/>
        <v>PlMP</v>
      </c>
      <c r="C397" s="16" t="s">
        <v>549</v>
      </c>
      <c r="D397" s="48" t="s">
        <v>579</v>
      </c>
      <c r="E397" s="57"/>
      <c r="F397" s="57"/>
      <c r="G397" s="19" t="str">
        <f t="shared" si="52"/>
        <v/>
      </c>
      <c r="H397" s="58"/>
      <c r="I397" s="20" t="str">
        <f t="shared" si="53"/>
        <v/>
      </c>
      <c r="J397" s="68"/>
      <c r="K397" s="21" t="str">
        <f t="shared" si="54"/>
        <v/>
      </c>
      <c r="L397" s="69"/>
      <c r="M397" s="22" t="s">
        <v>550</v>
      </c>
      <c r="N397" s="23" t="s">
        <v>551</v>
      </c>
      <c r="O397" s="24"/>
      <c r="P397" s="25"/>
      <c r="Q397" s="26" t="str">
        <f>IF(B397&lt;&gt;"",(C397&amp;M397&amp;N397&amp;O397&amp;P397&amp;G397&amp;H397&amp;I397&amp;J397&amp;K397&amp;L397),"")</f>
        <v>Placa Modulo Pequeña</v>
      </c>
    </row>
    <row r="398" spans="1:17" ht="20" customHeight="1" outlineLevel="2" x14ac:dyDescent="0.65">
      <c r="A398" s="14">
        <v>354</v>
      </c>
      <c r="B398" s="15" t="str">
        <f t="shared" si="51"/>
        <v>PlMM</v>
      </c>
      <c r="C398" s="16" t="s">
        <v>549</v>
      </c>
      <c r="D398" s="48" t="s">
        <v>552</v>
      </c>
      <c r="E398" s="57"/>
      <c r="F398" s="57"/>
      <c r="G398" s="19" t="str">
        <f t="shared" si="52"/>
        <v/>
      </c>
      <c r="H398" s="58"/>
      <c r="I398" s="20" t="str">
        <f t="shared" si="53"/>
        <v/>
      </c>
      <c r="J398" s="68"/>
      <c r="K398" s="21" t="str">
        <f t="shared" si="54"/>
        <v/>
      </c>
      <c r="L398" s="69"/>
      <c r="M398" s="22" t="s">
        <v>550</v>
      </c>
      <c r="N398" s="23" t="s">
        <v>553</v>
      </c>
      <c r="O398" s="24"/>
      <c r="P398" s="25"/>
      <c r="Q398" s="26" t="str">
        <f t="shared" ref="Q398:Q399" si="59">IF(B398&lt;&gt;"",(C398&amp;M398&amp;N398&amp;O398&amp;P398&amp;G398&amp;H398&amp;I398&amp;J398&amp;K398&amp;L398),"")</f>
        <v>Placa Modulo Mediana</v>
      </c>
    </row>
    <row r="399" spans="1:17" ht="20" customHeight="1" outlineLevel="2" x14ac:dyDescent="0.65">
      <c r="A399" s="14">
        <v>355</v>
      </c>
      <c r="B399" s="15" t="str">
        <f t="shared" si="51"/>
        <v>PlMG</v>
      </c>
      <c r="C399" s="16" t="s">
        <v>549</v>
      </c>
      <c r="D399" s="48" t="s">
        <v>554</v>
      </c>
      <c r="E399" s="57"/>
      <c r="F399" s="57"/>
      <c r="G399" s="19" t="str">
        <f t="shared" si="52"/>
        <v/>
      </c>
      <c r="H399" s="58"/>
      <c r="I399" s="20" t="str">
        <f t="shared" si="53"/>
        <v/>
      </c>
      <c r="J399" s="68"/>
      <c r="K399" s="21" t="str">
        <f t="shared" si="54"/>
        <v/>
      </c>
      <c r="L399" s="69"/>
      <c r="M399" s="22" t="s">
        <v>550</v>
      </c>
      <c r="N399" s="23" t="s">
        <v>151</v>
      </c>
      <c r="O399" s="24"/>
      <c r="P399" s="25"/>
      <c r="Q399" s="26" t="str">
        <f t="shared" si="59"/>
        <v>Placa Modulo Grande</v>
      </c>
    </row>
    <row r="400" spans="1:17" ht="20" customHeight="1" outlineLevel="1" x14ac:dyDescent="0.65">
      <c r="B400" s="45" t="str">
        <f t="shared" si="51"/>
        <v/>
      </c>
      <c r="C400" s="1"/>
      <c r="M400" s="1"/>
      <c r="N400" s="1"/>
      <c r="O400" s="1"/>
      <c r="P400" s="1"/>
      <c r="Q400" s="46"/>
    </row>
    <row r="401" spans="1:17" ht="20" customHeight="1" outlineLevel="2" x14ac:dyDescent="0.65">
      <c r="A401" s="14">
        <v>356</v>
      </c>
      <c r="B401" s="15" t="str">
        <f t="shared" si="51"/>
        <v>TaMATS</v>
      </c>
      <c r="C401" s="16" t="s">
        <v>555</v>
      </c>
      <c r="D401" s="48" t="s">
        <v>556</v>
      </c>
      <c r="E401" s="57"/>
      <c r="F401" s="57"/>
      <c r="G401" s="19" t="str">
        <f t="shared" si="52"/>
        <v/>
      </c>
      <c r="H401" s="58"/>
      <c r="I401" s="20" t="str">
        <f t="shared" si="53"/>
        <v/>
      </c>
      <c r="J401" s="68"/>
      <c r="K401" s="21" t="str">
        <f t="shared" si="54"/>
        <v/>
      </c>
      <c r="L401" s="69"/>
      <c r="M401" s="22" t="s">
        <v>550</v>
      </c>
      <c r="N401" s="23" t="s">
        <v>557</v>
      </c>
      <c r="O401" s="24" t="s">
        <v>558</v>
      </c>
      <c r="P401" s="50" t="s">
        <v>559</v>
      </c>
      <c r="Q401" s="26" t="str">
        <f>IF(B401&lt;&gt;"",(C401&amp;M401&amp;N401&amp;O401&amp;P401&amp;G401&amp;H401&amp;I401&amp;J401&amp;K401&amp;L401),"")</f>
        <v>Tapa Modulo ATS</v>
      </c>
    </row>
    <row r="402" spans="1:17" ht="20" customHeight="1" outlineLevel="2" x14ac:dyDescent="0.65">
      <c r="A402" s="14">
        <v>357</v>
      </c>
      <c r="B402" s="15" t="str">
        <f t="shared" si="51"/>
        <v>TaMPM6</v>
      </c>
      <c r="C402" s="16" t="s">
        <v>555</v>
      </c>
      <c r="D402" s="48" t="s">
        <v>560</v>
      </c>
      <c r="E402" s="57"/>
      <c r="F402" s="57"/>
      <c r="G402" s="19" t="str">
        <f t="shared" si="52"/>
        <v/>
      </c>
      <c r="H402" s="58"/>
      <c r="I402" s="20" t="str">
        <f t="shared" si="53"/>
        <v/>
      </c>
      <c r="J402" s="68"/>
      <c r="K402" s="21" t="str">
        <f t="shared" si="54"/>
        <v/>
      </c>
      <c r="L402" s="69"/>
      <c r="M402" s="22" t="s">
        <v>550</v>
      </c>
      <c r="N402" s="23" t="s">
        <v>561</v>
      </c>
      <c r="O402" s="24" t="s">
        <v>562</v>
      </c>
      <c r="P402" s="50">
        <v>6</v>
      </c>
      <c r="Q402" s="26" t="str">
        <f>IF(B402&lt;&gt;"",(C402&amp;M402&amp;N402&amp;O402&amp;P402&amp;G402&amp;H402&amp;I402&amp;J402&amp;K402&amp;L402),"")</f>
        <v>Tapa Modulo PM6</v>
      </c>
    </row>
    <row r="403" spans="1:17" ht="20" customHeight="1" outlineLevel="1" x14ac:dyDescent="0.65">
      <c r="B403" s="45" t="str">
        <f t="shared" si="51"/>
        <v/>
      </c>
      <c r="C403" s="1"/>
      <c r="M403" s="1"/>
      <c r="N403" s="1"/>
      <c r="O403" s="1"/>
      <c r="P403" s="1"/>
      <c r="Q403" s="46"/>
    </row>
    <row r="404" spans="1:17" ht="20" customHeight="1" outlineLevel="1" x14ac:dyDescent="0.65">
      <c r="A404" s="14"/>
      <c r="B404" s="15" t="str">
        <f t="shared" si="51"/>
        <v>AnI</v>
      </c>
      <c r="C404" s="16" t="s">
        <v>546</v>
      </c>
      <c r="D404" s="129" t="s">
        <v>547</v>
      </c>
      <c r="E404" s="57"/>
      <c r="F404" s="57"/>
      <c r="G404" s="19" t="str">
        <f t="shared" si="52"/>
        <v/>
      </c>
      <c r="H404" s="58"/>
      <c r="I404" s="20" t="str">
        <f t="shared" si="53"/>
        <v/>
      </c>
      <c r="J404" s="68"/>
      <c r="K404" s="21" t="str">
        <f t="shared" si="54"/>
        <v/>
      </c>
      <c r="L404" s="69"/>
      <c r="M404" s="22" t="s">
        <v>578</v>
      </c>
      <c r="N404" s="23"/>
      <c r="O404" s="24"/>
      <c r="P404" s="25"/>
      <c r="Q404" s="26" t="str">
        <f>IF(B404&lt;&gt;"",(C404&amp;M404&amp;N404&amp;O404&amp;P404&amp;G404&amp;H404&amp;I404&amp;J404&amp;K404&amp;L404),"")</f>
        <v>Angulo Izaje</v>
      </c>
    </row>
    <row r="405" spans="1:17" ht="20" customHeight="1" outlineLevel="1" x14ac:dyDescent="0.65">
      <c r="A405" s="14"/>
      <c r="B405" s="15" t="str">
        <f t="shared" ref="B405:B466" si="60">MID(H405,1,2)&amp;MID(J405,1,2)&amp;MID(L405,1,2)&amp;MID(C405,1,2)&amp;MID(M405,1,1)&amp;MID(N405,1,1)&amp;MID(O405,1,1)&amp;MID(P405,1,3)</f>
        <v>CuVNP</v>
      </c>
      <c r="C405" s="16" t="s">
        <v>590</v>
      </c>
      <c r="D405" s="130" t="s">
        <v>585</v>
      </c>
      <c r="E405" s="57"/>
      <c r="F405" s="57"/>
      <c r="G405" s="19" t="str">
        <f t="shared" ref="G405:G466" si="61">IF(H405&lt;&gt;"","H:","")</f>
        <v/>
      </c>
      <c r="H405" s="58"/>
      <c r="I405" s="20" t="str">
        <f t="shared" ref="I405:I466" si="62">IF(J405&lt;&gt;"","W:","")</f>
        <v/>
      </c>
      <c r="J405" s="68"/>
      <c r="K405" s="21" t="str">
        <f t="shared" ref="K405:K466" si="63">IF(L405&lt;&gt;"","D:","")</f>
        <v/>
      </c>
      <c r="L405" s="69"/>
      <c r="M405" s="22" t="s">
        <v>589</v>
      </c>
      <c r="N405" s="23" t="s">
        <v>591</v>
      </c>
      <c r="O405" s="24" t="s">
        <v>594</v>
      </c>
      <c r="P405" s="25"/>
      <c r="Q405" s="26" t="str">
        <f t="shared" ref="Q405:Q408" si="64">IF(B405&lt;&gt;"",(C405&amp;M405&amp;N405&amp;O405&amp;P405&amp;G405&amp;H405&amp;I405&amp;J405&amp;K405&amp;L405),"")</f>
        <v>Cubierta Ventilación Natural Pequeño</v>
      </c>
    </row>
    <row r="406" spans="1:17" ht="20" customHeight="1" outlineLevel="1" x14ac:dyDescent="0.65">
      <c r="A406" s="14"/>
      <c r="B406" s="15" t="str">
        <f t="shared" si="60"/>
        <v>CuVNM</v>
      </c>
      <c r="C406" s="16" t="s">
        <v>590</v>
      </c>
      <c r="D406" s="130" t="s">
        <v>586</v>
      </c>
      <c r="E406" s="57"/>
      <c r="F406" s="57"/>
      <c r="G406" s="19" t="str">
        <f t="shared" si="61"/>
        <v/>
      </c>
      <c r="H406" s="58"/>
      <c r="I406" s="20" t="str">
        <f t="shared" si="62"/>
        <v/>
      </c>
      <c r="J406" s="68"/>
      <c r="K406" s="21" t="str">
        <f t="shared" si="63"/>
        <v/>
      </c>
      <c r="L406" s="69"/>
      <c r="M406" s="22" t="s">
        <v>589</v>
      </c>
      <c r="N406" s="23" t="s">
        <v>591</v>
      </c>
      <c r="O406" s="24" t="s">
        <v>595</v>
      </c>
      <c r="P406" s="25"/>
      <c r="Q406" s="26" t="str">
        <f t="shared" si="64"/>
        <v>Cubierta Ventilación Natural Mediano</v>
      </c>
    </row>
    <row r="407" spans="1:17" ht="20" customHeight="1" outlineLevel="1" x14ac:dyDescent="0.65">
      <c r="A407" s="14"/>
      <c r="B407" s="15" t="str">
        <f t="shared" si="60"/>
        <v>CuVNG</v>
      </c>
      <c r="C407" s="16" t="s">
        <v>590</v>
      </c>
      <c r="D407" s="130" t="s">
        <v>587</v>
      </c>
      <c r="E407" s="57"/>
      <c r="F407" s="57"/>
      <c r="G407" s="19" t="str">
        <f t="shared" si="61"/>
        <v/>
      </c>
      <c r="H407" s="58"/>
      <c r="I407" s="20" t="str">
        <f t="shared" si="62"/>
        <v/>
      </c>
      <c r="J407" s="68"/>
      <c r="K407" s="21" t="str">
        <f t="shared" si="63"/>
        <v/>
      </c>
      <c r="L407" s="69"/>
      <c r="M407" s="22" t="s">
        <v>589</v>
      </c>
      <c r="N407" s="23" t="s">
        <v>591</v>
      </c>
      <c r="O407" s="24" t="s">
        <v>151</v>
      </c>
      <c r="P407" s="25"/>
      <c r="Q407" s="26" t="str">
        <f t="shared" si="64"/>
        <v>Cubierta Ventilación Natural Grande</v>
      </c>
    </row>
    <row r="408" spans="1:17" ht="20" customHeight="1" outlineLevel="1" x14ac:dyDescent="0.65">
      <c r="A408" s="14"/>
      <c r="B408" s="15" t="str">
        <f t="shared" si="60"/>
        <v>CuVSE</v>
      </c>
      <c r="C408" s="16" t="s">
        <v>590</v>
      </c>
      <c r="D408" s="130" t="s">
        <v>588</v>
      </c>
      <c r="E408" s="57"/>
      <c r="F408" s="57"/>
      <c r="G408" s="19" t="str">
        <f t="shared" si="61"/>
        <v/>
      </c>
      <c r="H408" s="58"/>
      <c r="I408" s="20" t="str">
        <f t="shared" si="62"/>
        <v/>
      </c>
      <c r="J408" s="68"/>
      <c r="K408" s="21" t="str">
        <f t="shared" si="63"/>
        <v/>
      </c>
      <c r="L408" s="69"/>
      <c r="M408" s="22" t="s">
        <v>589</v>
      </c>
      <c r="N408" s="23" t="s">
        <v>592</v>
      </c>
      <c r="O408" s="24" t="s">
        <v>593</v>
      </c>
      <c r="P408" s="25"/>
      <c r="Q408" s="26" t="str">
        <f t="shared" si="64"/>
        <v>Cubierta Ventilación SchneiderElectric</v>
      </c>
    </row>
    <row r="409" spans="1:17" ht="20" customHeight="1" outlineLevel="1" x14ac:dyDescent="0.65">
      <c r="A409" s="14"/>
      <c r="B409" s="15" t="str">
        <f t="shared" si="60"/>
        <v/>
      </c>
      <c r="C409" s="16"/>
      <c r="D409" s="57"/>
      <c r="E409" s="57"/>
      <c r="F409" s="57"/>
      <c r="G409" s="19" t="str">
        <f t="shared" si="61"/>
        <v/>
      </c>
      <c r="H409" s="58"/>
      <c r="I409" s="20" t="str">
        <f t="shared" si="62"/>
        <v/>
      </c>
      <c r="J409" s="68"/>
      <c r="K409" s="21" t="str">
        <f t="shared" si="63"/>
        <v/>
      </c>
      <c r="L409" s="69"/>
      <c r="M409" s="22"/>
      <c r="N409" s="23"/>
      <c r="O409" s="24"/>
      <c r="P409" s="25"/>
      <c r="Q409" s="26" t="str">
        <f t="shared" ref="Q409:Q466" si="65">IF(B409&lt;&gt;"",(C409&amp;M409&amp;N409&amp;O409&amp;P409&amp;" / "&amp;G409&amp;H409&amp;I409&amp;J409&amp;K409&amp;L409&amp;" mm"),"")</f>
        <v/>
      </c>
    </row>
    <row r="410" spans="1:17" ht="20" customHeight="1" outlineLevel="1" x14ac:dyDescent="0.65">
      <c r="A410" s="14"/>
      <c r="B410" s="15" t="str">
        <f t="shared" si="60"/>
        <v/>
      </c>
      <c r="C410" s="16"/>
      <c r="D410" s="57"/>
      <c r="E410" s="57"/>
      <c r="F410" s="57"/>
      <c r="G410" s="19" t="str">
        <f t="shared" si="61"/>
        <v/>
      </c>
      <c r="H410" s="58"/>
      <c r="I410" s="20" t="str">
        <f t="shared" si="62"/>
        <v/>
      </c>
      <c r="J410" s="68"/>
      <c r="K410" s="21" t="str">
        <f t="shared" si="63"/>
        <v/>
      </c>
      <c r="L410" s="69"/>
      <c r="M410" s="22"/>
      <c r="N410" s="23"/>
      <c r="O410" s="24"/>
      <c r="P410" s="25"/>
      <c r="Q410" s="26" t="str">
        <f t="shared" si="65"/>
        <v/>
      </c>
    </row>
    <row r="411" spans="1:17" ht="20" customHeight="1" outlineLevel="1" x14ac:dyDescent="0.65">
      <c r="A411" s="14"/>
      <c r="B411" s="15" t="str">
        <f t="shared" si="60"/>
        <v/>
      </c>
      <c r="C411" s="16"/>
      <c r="D411" s="57"/>
      <c r="E411" s="57"/>
      <c r="F411" s="57"/>
      <c r="G411" s="19" t="str">
        <f t="shared" si="61"/>
        <v/>
      </c>
      <c r="H411" s="58"/>
      <c r="I411" s="20" t="str">
        <f t="shared" si="62"/>
        <v/>
      </c>
      <c r="J411" s="68"/>
      <c r="K411" s="21" t="str">
        <f t="shared" si="63"/>
        <v/>
      </c>
      <c r="L411" s="69"/>
      <c r="M411" s="22"/>
      <c r="N411" s="23"/>
      <c r="O411" s="24"/>
      <c r="P411" s="25"/>
      <c r="Q411" s="26" t="str">
        <f t="shared" si="65"/>
        <v/>
      </c>
    </row>
    <row r="412" spans="1:17" ht="20" customHeight="1" outlineLevel="1" x14ac:dyDescent="0.65">
      <c r="A412" s="14"/>
      <c r="B412" s="15" t="str">
        <f t="shared" si="60"/>
        <v/>
      </c>
      <c r="C412" s="16"/>
      <c r="D412" s="57"/>
      <c r="E412" s="57"/>
      <c r="F412" s="57"/>
      <c r="G412" s="19" t="str">
        <f t="shared" si="61"/>
        <v/>
      </c>
      <c r="H412" s="58"/>
      <c r="I412" s="20" t="str">
        <f t="shared" si="62"/>
        <v/>
      </c>
      <c r="J412" s="68"/>
      <c r="K412" s="21" t="str">
        <f t="shared" si="63"/>
        <v/>
      </c>
      <c r="L412" s="69"/>
      <c r="M412" s="22"/>
      <c r="N412" s="23"/>
      <c r="O412" s="24"/>
      <c r="P412" s="25"/>
      <c r="Q412" s="26" t="str">
        <f t="shared" si="65"/>
        <v/>
      </c>
    </row>
    <row r="413" spans="1:17" ht="20" customHeight="1" outlineLevel="1" x14ac:dyDescent="0.65">
      <c r="A413" s="14"/>
      <c r="B413" s="15" t="str">
        <f t="shared" si="60"/>
        <v/>
      </c>
      <c r="C413" s="16"/>
      <c r="D413" s="57"/>
      <c r="E413" s="57"/>
      <c r="F413" s="57"/>
      <c r="G413" s="19" t="str">
        <f t="shared" si="61"/>
        <v/>
      </c>
      <c r="H413" s="58"/>
      <c r="I413" s="20" t="str">
        <f t="shared" si="62"/>
        <v/>
      </c>
      <c r="J413" s="68"/>
      <c r="K413" s="21" t="str">
        <f t="shared" si="63"/>
        <v/>
      </c>
      <c r="L413" s="69"/>
      <c r="M413" s="22"/>
      <c r="N413" s="23"/>
      <c r="O413" s="24"/>
      <c r="P413" s="25"/>
      <c r="Q413" s="26" t="str">
        <f t="shared" si="65"/>
        <v/>
      </c>
    </row>
    <row r="414" spans="1:17" ht="20" customHeight="1" outlineLevel="1" x14ac:dyDescent="0.65">
      <c r="A414" s="14"/>
      <c r="B414" s="15" t="str">
        <f t="shared" si="60"/>
        <v/>
      </c>
      <c r="C414" s="16"/>
      <c r="D414" s="57"/>
      <c r="E414" s="57"/>
      <c r="F414" s="57"/>
      <c r="G414" s="19" t="str">
        <f t="shared" si="61"/>
        <v/>
      </c>
      <c r="H414" s="58"/>
      <c r="I414" s="20" t="str">
        <f t="shared" si="62"/>
        <v/>
      </c>
      <c r="J414" s="68"/>
      <c r="K414" s="21" t="str">
        <f t="shared" si="63"/>
        <v/>
      </c>
      <c r="L414" s="69"/>
      <c r="M414" s="22"/>
      <c r="N414" s="23"/>
      <c r="O414" s="24"/>
      <c r="P414" s="25"/>
      <c r="Q414" s="26" t="str">
        <f t="shared" si="65"/>
        <v/>
      </c>
    </row>
    <row r="415" spans="1:17" ht="20" customHeight="1" outlineLevel="1" x14ac:dyDescent="0.65">
      <c r="A415" s="14"/>
      <c r="B415" s="15" t="str">
        <f t="shared" si="60"/>
        <v/>
      </c>
      <c r="C415" s="16"/>
      <c r="D415" s="57"/>
      <c r="E415" s="57"/>
      <c r="F415" s="57"/>
      <c r="G415" s="19" t="str">
        <f t="shared" si="61"/>
        <v/>
      </c>
      <c r="H415" s="58"/>
      <c r="I415" s="20" t="str">
        <f t="shared" si="62"/>
        <v/>
      </c>
      <c r="J415" s="68"/>
      <c r="K415" s="21" t="str">
        <f t="shared" si="63"/>
        <v/>
      </c>
      <c r="L415" s="69"/>
      <c r="M415" s="22"/>
      <c r="N415" s="23"/>
      <c r="O415" s="24"/>
      <c r="P415" s="25"/>
      <c r="Q415" s="26" t="str">
        <f t="shared" si="65"/>
        <v/>
      </c>
    </row>
    <row r="416" spans="1:17" ht="20" customHeight="1" outlineLevel="1" x14ac:dyDescent="0.65">
      <c r="A416" s="14"/>
      <c r="B416" s="15" t="str">
        <f t="shared" si="60"/>
        <v/>
      </c>
      <c r="C416" s="16"/>
      <c r="D416" s="57"/>
      <c r="E416" s="57"/>
      <c r="F416" s="57"/>
      <c r="G416" s="19" t="str">
        <f t="shared" si="61"/>
        <v/>
      </c>
      <c r="H416" s="58"/>
      <c r="I416" s="20" t="str">
        <f t="shared" si="62"/>
        <v/>
      </c>
      <c r="J416" s="68"/>
      <c r="K416" s="21" t="str">
        <f t="shared" si="63"/>
        <v/>
      </c>
      <c r="L416" s="69"/>
      <c r="M416" s="22"/>
      <c r="N416" s="23"/>
      <c r="O416" s="24"/>
      <c r="P416" s="25"/>
      <c r="Q416" s="26" t="str">
        <f t="shared" si="65"/>
        <v/>
      </c>
    </row>
    <row r="417" spans="1:17" ht="20" customHeight="1" outlineLevel="1" x14ac:dyDescent="0.65">
      <c r="A417" s="14"/>
      <c r="B417" s="15" t="str">
        <f t="shared" si="60"/>
        <v/>
      </c>
      <c r="C417" s="16"/>
      <c r="D417" s="57"/>
      <c r="E417" s="57"/>
      <c r="F417" s="57"/>
      <c r="G417" s="19" t="str">
        <f t="shared" si="61"/>
        <v/>
      </c>
      <c r="H417" s="58"/>
      <c r="I417" s="20" t="str">
        <f t="shared" si="62"/>
        <v/>
      </c>
      <c r="J417" s="68"/>
      <c r="K417" s="21" t="str">
        <f t="shared" si="63"/>
        <v/>
      </c>
      <c r="L417" s="69"/>
      <c r="M417" s="22"/>
      <c r="N417" s="23"/>
      <c r="O417" s="24"/>
      <c r="P417" s="25"/>
      <c r="Q417" s="26" t="str">
        <f t="shared" si="65"/>
        <v/>
      </c>
    </row>
    <row r="418" spans="1:17" ht="20" customHeight="1" outlineLevel="1" x14ac:dyDescent="0.65">
      <c r="A418" s="14"/>
      <c r="B418" s="15" t="str">
        <f t="shared" si="60"/>
        <v/>
      </c>
      <c r="C418" s="16"/>
      <c r="D418" s="57"/>
      <c r="E418" s="57"/>
      <c r="F418" s="57"/>
      <c r="G418" s="19" t="str">
        <f t="shared" si="61"/>
        <v/>
      </c>
      <c r="H418" s="58"/>
      <c r="I418" s="20" t="str">
        <f t="shared" si="62"/>
        <v/>
      </c>
      <c r="J418" s="68"/>
      <c r="K418" s="21" t="str">
        <f t="shared" si="63"/>
        <v/>
      </c>
      <c r="L418" s="69"/>
      <c r="M418" s="22"/>
      <c r="N418" s="23"/>
      <c r="O418" s="24"/>
      <c r="P418" s="25"/>
      <c r="Q418" s="26" t="str">
        <f t="shared" si="65"/>
        <v/>
      </c>
    </row>
    <row r="419" spans="1:17" ht="20" customHeight="1" outlineLevel="1" x14ac:dyDescent="0.65">
      <c r="A419" s="14"/>
      <c r="B419" s="15" t="str">
        <f t="shared" si="60"/>
        <v/>
      </c>
      <c r="C419" s="16"/>
      <c r="D419" s="57"/>
      <c r="E419" s="57"/>
      <c r="F419" s="57"/>
      <c r="G419" s="19" t="str">
        <f t="shared" si="61"/>
        <v/>
      </c>
      <c r="H419" s="58"/>
      <c r="I419" s="20" t="str">
        <f t="shared" si="62"/>
        <v/>
      </c>
      <c r="J419" s="68"/>
      <c r="K419" s="21" t="str">
        <f t="shared" si="63"/>
        <v/>
      </c>
      <c r="L419" s="69"/>
      <c r="M419" s="22"/>
      <c r="N419" s="23"/>
      <c r="O419" s="24"/>
      <c r="P419" s="25"/>
      <c r="Q419" s="26" t="str">
        <f t="shared" si="65"/>
        <v/>
      </c>
    </row>
    <row r="420" spans="1:17" ht="20" customHeight="1" outlineLevel="1" x14ac:dyDescent="0.65">
      <c r="A420" s="14"/>
      <c r="B420" s="15" t="str">
        <f t="shared" si="60"/>
        <v/>
      </c>
      <c r="C420" s="16"/>
      <c r="D420" s="57"/>
      <c r="E420" s="57"/>
      <c r="F420" s="57"/>
      <c r="G420" s="19" t="str">
        <f t="shared" si="61"/>
        <v/>
      </c>
      <c r="H420" s="58"/>
      <c r="I420" s="20" t="str">
        <f t="shared" si="62"/>
        <v/>
      </c>
      <c r="J420" s="68"/>
      <c r="K420" s="21" t="str">
        <f t="shared" si="63"/>
        <v/>
      </c>
      <c r="L420" s="69"/>
      <c r="M420" s="22"/>
      <c r="N420" s="23"/>
      <c r="O420" s="24"/>
      <c r="P420" s="25"/>
      <c r="Q420" s="26" t="str">
        <f t="shared" si="65"/>
        <v/>
      </c>
    </row>
    <row r="421" spans="1:17" ht="20" customHeight="1" outlineLevel="1" x14ac:dyDescent="0.65">
      <c r="A421" s="14"/>
      <c r="B421" s="15" t="str">
        <f t="shared" si="60"/>
        <v/>
      </c>
      <c r="C421" s="16"/>
      <c r="D421" s="57"/>
      <c r="E421" s="57"/>
      <c r="F421" s="57"/>
      <c r="G421" s="19" t="str">
        <f t="shared" si="61"/>
        <v/>
      </c>
      <c r="H421" s="58"/>
      <c r="I421" s="20" t="str">
        <f t="shared" si="62"/>
        <v/>
      </c>
      <c r="J421" s="68"/>
      <c r="K421" s="21" t="str">
        <f t="shared" si="63"/>
        <v/>
      </c>
      <c r="L421" s="69"/>
      <c r="M421" s="22"/>
      <c r="N421" s="23"/>
      <c r="O421" s="24"/>
      <c r="P421" s="25"/>
      <c r="Q421" s="26" t="str">
        <f t="shared" si="65"/>
        <v/>
      </c>
    </row>
    <row r="422" spans="1:17" ht="20" customHeight="1" outlineLevel="1" x14ac:dyDescent="0.65">
      <c r="A422" s="14"/>
      <c r="B422" s="15" t="str">
        <f t="shared" si="60"/>
        <v/>
      </c>
      <c r="C422" s="16"/>
      <c r="D422" s="57"/>
      <c r="E422" s="57"/>
      <c r="F422" s="57"/>
      <c r="G422" s="19" t="str">
        <f t="shared" si="61"/>
        <v/>
      </c>
      <c r="H422" s="58"/>
      <c r="I422" s="20" t="str">
        <f t="shared" si="62"/>
        <v/>
      </c>
      <c r="J422" s="68"/>
      <c r="K422" s="21" t="str">
        <f t="shared" si="63"/>
        <v/>
      </c>
      <c r="L422" s="69"/>
      <c r="M422" s="22"/>
      <c r="N422" s="23"/>
      <c r="O422" s="24"/>
      <c r="P422" s="25"/>
      <c r="Q422" s="26" t="str">
        <f t="shared" si="65"/>
        <v/>
      </c>
    </row>
    <row r="423" spans="1:17" ht="20" customHeight="1" outlineLevel="1" x14ac:dyDescent="0.65">
      <c r="A423" s="14"/>
      <c r="B423" s="15" t="str">
        <f t="shared" si="60"/>
        <v/>
      </c>
      <c r="C423" s="16"/>
      <c r="D423" s="57"/>
      <c r="E423" s="57"/>
      <c r="F423" s="57"/>
      <c r="G423" s="19" t="str">
        <f t="shared" si="61"/>
        <v/>
      </c>
      <c r="H423" s="58"/>
      <c r="I423" s="20" t="str">
        <f t="shared" si="62"/>
        <v/>
      </c>
      <c r="J423" s="68"/>
      <c r="K423" s="21" t="str">
        <f t="shared" si="63"/>
        <v/>
      </c>
      <c r="L423" s="69"/>
      <c r="M423" s="22"/>
      <c r="N423" s="23"/>
      <c r="O423" s="24"/>
      <c r="P423" s="25"/>
      <c r="Q423" s="26" t="str">
        <f t="shared" si="65"/>
        <v/>
      </c>
    </row>
    <row r="424" spans="1:17" ht="20" customHeight="1" outlineLevel="1" x14ac:dyDescent="0.65">
      <c r="A424" s="14"/>
      <c r="B424" s="15" t="str">
        <f t="shared" si="60"/>
        <v/>
      </c>
      <c r="C424" s="16"/>
      <c r="D424" s="57"/>
      <c r="E424" s="57"/>
      <c r="F424" s="57"/>
      <c r="G424" s="19" t="str">
        <f t="shared" si="61"/>
        <v/>
      </c>
      <c r="H424" s="58"/>
      <c r="I424" s="20" t="str">
        <f t="shared" si="62"/>
        <v/>
      </c>
      <c r="J424" s="68"/>
      <c r="K424" s="21" t="str">
        <f t="shared" si="63"/>
        <v/>
      </c>
      <c r="L424" s="69"/>
      <c r="M424" s="22"/>
      <c r="N424" s="23"/>
      <c r="O424" s="24"/>
      <c r="P424" s="25"/>
      <c r="Q424" s="26" t="str">
        <f t="shared" si="65"/>
        <v/>
      </c>
    </row>
    <row r="425" spans="1:17" ht="20" customHeight="1" outlineLevel="1" x14ac:dyDescent="0.65">
      <c r="A425" s="14"/>
      <c r="B425" s="15" t="str">
        <f t="shared" si="60"/>
        <v/>
      </c>
      <c r="C425" s="16"/>
      <c r="D425" s="57"/>
      <c r="E425" s="57"/>
      <c r="F425" s="57"/>
      <c r="G425" s="19" t="str">
        <f t="shared" si="61"/>
        <v/>
      </c>
      <c r="H425" s="58"/>
      <c r="I425" s="20" t="str">
        <f t="shared" si="62"/>
        <v/>
      </c>
      <c r="J425" s="68"/>
      <c r="K425" s="21" t="str">
        <f t="shared" si="63"/>
        <v/>
      </c>
      <c r="L425" s="69"/>
      <c r="M425" s="22"/>
      <c r="N425" s="23"/>
      <c r="O425" s="24"/>
      <c r="P425" s="25"/>
      <c r="Q425" s="26" t="str">
        <f t="shared" si="65"/>
        <v/>
      </c>
    </row>
    <row r="426" spans="1:17" ht="20" customHeight="1" outlineLevel="1" x14ac:dyDescent="0.65">
      <c r="A426" s="14"/>
      <c r="B426" s="15" t="str">
        <f t="shared" si="60"/>
        <v/>
      </c>
      <c r="C426" s="16"/>
      <c r="D426" s="57"/>
      <c r="E426" s="57"/>
      <c r="F426" s="57"/>
      <c r="G426" s="19" t="str">
        <f t="shared" si="61"/>
        <v/>
      </c>
      <c r="H426" s="58"/>
      <c r="I426" s="20" t="str">
        <f t="shared" si="62"/>
        <v/>
      </c>
      <c r="J426" s="68"/>
      <c r="K426" s="21" t="str">
        <f t="shared" si="63"/>
        <v/>
      </c>
      <c r="L426" s="69"/>
      <c r="M426" s="22"/>
      <c r="N426" s="23"/>
      <c r="O426" s="24"/>
      <c r="P426" s="25"/>
      <c r="Q426" s="26" t="str">
        <f t="shared" si="65"/>
        <v/>
      </c>
    </row>
    <row r="427" spans="1:17" ht="20" customHeight="1" outlineLevel="1" x14ac:dyDescent="0.65">
      <c r="A427" s="14"/>
      <c r="B427" s="15" t="str">
        <f t="shared" si="60"/>
        <v/>
      </c>
      <c r="C427" s="16"/>
      <c r="D427" s="57"/>
      <c r="E427" s="57"/>
      <c r="F427" s="57"/>
      <c r="G427" s="19" t="str">
        <f t="shared" si="61"/>
        <v/>
      </c>
      <c r="H427" s="58"/>
      <c r="I427" s="20" t="str">
        <f t="shared" si="62"/>
        <v/>
      </c>
      <c r="J427" s="68"/>
      <c r="K427" s="21" t="str">
        <f t="shared" si="63"/>
        <v/>
      </c>
      <c r="L427" s="69"/>
      <c r="M427" s="22"/>
      <c r="N427" s="23"/>
      <c r="O427" s="24"/>
      <c r="P427" s="25"/>
      <c r="Q427" s="26" t="str">
        <f t="shared" si="65"/>
        <v/>
      </c>
    </row>
    <row r="428" spans="1:17" ht="20" customHeight="1" outlineLevel="1" x14ac:dyDescent="0.65">
      <c r="A428" s="14"/>
      <c r="B428" s="15" t="str">
        <f t="shared" si="60"/>
        <v/>
      </c>
      <c r="C428" s="16"/>
      <c r="D428" s="57"/>
      <c r="E428" s="57"/>
      <c r="F428" s="57"/>
      <c r="G428" s="19" t="str">
        <f t="shared" si="61"/>
        <v/>
      </c>
      <c r="H428" s="58"/>
      <c r="I428" s="20" t="str">
        <f t="shared" si="62"/>
        <v/>
      </c>
      <c r="J428" s="68"/>
      <c r="K428" s="21" t="str">
        <f t="shared" si="63"/>
        <v/>
      </c>
      <c r="L428" s="69"/>
      <c r="M428" s="22"/>
      <c r="N428" s="23"/>
      <c r="O428" s="24"/>
      <c r="P428" s="25"/>
      <c r="Q428" s="26" t="str">
        <f t="shared" si="65"/>
        <v/>
      </c>
    </row>
    <row r="429" spans="1:17" ht="20" customHeight="1" outlineLevel="1" x14ac:dyDescent="0.65">
      <c r="A429" s="14"/>
      <c r="B429" s="15" t="str">
        <f t="shared" si="60"/>
        <v/>
      </c>
      <c r="C429" s="16"/>
      <c r="D429" s="57"/>
      <c r="E429" s="57"/>
      <c r="F429" s="57"/>
      <c r="G429" s="19" t="str">
        <f t="shared" si="61"/>
        <v/>
      </c>
      <c r="H429" s="58"/>
      <c r="I429" s="20" t="str">
        <f t="shared" si="62"/>
        <v/>
      </c>
      <c r="J429" s="68"/>
      <c r="K429" s="21" t="str">
        <f t="shared" si="63"/>
        <v/>
      </c>
      <c r="L429" s="69"/>
      <c r="M429" s="22"/>
      <c r="N429" s="23"/>
      <c r="O429" s="24"/>
      <c r="P429" s="25"/>
      <c r="Q429" s="26" t="str">
        <f t="shared" si="65"/>
        <v/>
      </c>
    </row>
    <row r="430" spans="1:17" ht="20" customHeight="1" outlineLevel="1" x14ac:dyDescent="0.65">
      <c r="A430" s="14"/>
      <c r="B430" s="15" t="str">
        <f t="shared" si="60"/>
        <v/>
      </c>
      <c r="C430" s="16"/>
      <c r="D430" s="57"/>
      <c r="E430" s="57"/>
      <c r="F430" s="57"/>
      <c r="G430" s="19" t="str">
        <f t="shared" si="61"/>
        <v/>
      </c>
      <c r="H430" s="58"/>
      <c r="I430" s="20" t="str">
        <f t="shared" si="62"/>
        <v/>
      </c>
      <c r="J430" s="68"/>
      <c r="K430" s="21" t="str">
        <f t="shared" si="63"/>
        <v/>
      </c>
      <c r="L430" s="69"/>
      <c r="M430" s="22"/>
      <c r="N430" s="23"/>
      <c r="O430" s="24"/>
      <c r="P430" s="25"/>
      <c r="Q430" s="26" t="str">
        <f t="shared" si="65"/>
        <v/>
      </c>
    </row>
    <row r="431" spans="1:17" ht="20" customHeight="1" outlineLevel="1" x14ac:dyDescent="0.65">
      <c r="A431" s="14"/>
      <c r="B431" s="15" t="str">
        <f t="shared" si="60"/>
        <v/>
      </c>
      <c r="C431" s="16"/>
      <c r="D431" s="57"/>
      <c r="E431" s="57"/>
      <c r="F431" s="57"/>
      <c r="G431" s="19" t="str">
        <f t="shared" si="61"/>
        <v/>
      </c>
      <c r="H431" s="58"/>
      <c r="I431" s="20" t="str">
        <f t="shared" si="62"/>
        <v/>
      </c>
      <c r="J431" s="68"/>
      <c r="K431" s="21" t="str">
        <f t="shared" si="63"/>
        <v/>
      </c>
      <c r="L431" s="69"/>
      <c r="M431" s="22"/>
      <c r="N431" s="23"/>
      <c r="O431" s="24"/>
      <c r="P431" s="25"/>
      <c r="Q431" s="26" t="str">
        <f t="shared" si="65"/>
        <v/>
      </c>
    </row>
    <row r="432" spans="1:17" ht="20" customHeight="1" outlineLevel="1" x14ac:dyDescent="0.65">
      <c r="A432" s="14"/>
      <c r="B432" s="15" t="str">
        <f t="shared" si="60"/>
        <v/>
      </c>
      <c r="C432" s="16"/>
      <c r="D432" s="57"/>
      <c r="E432" s="57"/>
      <c r="F432" s="57"/>
      <c r="G432" s="19" t="str">
        <f t="shared" si="61"/>
        <v/>
      </c>
      <c r="H432" s="58"/>
      <c r="I432" s="20" t="str">
        <f t="shared" si="62"/>
        <v/>
      </c>
      <c r="J432" s="68"/>
      <c r="K432" s="21" t="str">
        <f t="shared" si="63"/>
        <v/>
      </c>
      <c r="L432" s="69"/>
      <c r="M432" s="22"/>
      <c r="N432" s="23"/>
      <c r="O432" s="24"/>
      <c r="P432" s="25"/>
      <c r="Q432" s="26" t="str">
        <f t="shared" si="65"/>
        <v/>
      </c>
    </row>
    <row r="433" spans="1:17" ht="20" customHeight="1" outlineLevel="1" x14ac:dyDescent="0.65">
      <c r="A433" s="14"/>
      <c r="B433" s="15" t="str">
        <f t="shared" si="60"/>
        <v/>
      </c>
      <c r="C433" s="16"/>
      <c r="D433" s="57"/>
      <c r="E433" s="57"/>
      <c r="F433" s="57"/>
      <c r="G433" s="19" t="str">
        <f t="shared" si="61"/>
        <v/>
      </c>
      <c r="H433" s="58"/>
      <c r="I433" s="20" t="str">
        <f t="shared" si="62"/>
        <v/>
      </c>
      <c r="J433" s="68"/>
      <c r="K433" s="21" t="str">
        <f t="shared" si="63"/>
        <v/>
      </c>
      <c r="L433" s="69"/>
      <c r="M433" s="22"/>
      <c r="N433" s="23"/>
      <c r="O433" s="24"/>
      <c r="P433" s="25"/>
      <c r="Q433" s="26" t="str">
        <f t="shared" si="65"/>
        <v/>
      </c>
    </row>
    <row r="434" spans="1:17" ht="20" customHeight="1" outlineLevel="1" x14ac:dyDescent="0.65">
      <c r="A434" s="14"/>
      <c r="B434" s="15" t="str">
        <f t="shared" si="60"/>
        <v/>
      </c>
      <c r="C434" s="16"/>
      <c r="D434" s="57"/>
      <c r="E434" s="57"/>
      <c r="F434" s="57"/>
      <c r="G434" s="19" t="str">
        <f t="shared" si="61"/>
        <v/>
      </c>
      <c r="H434" s="58"/>
      <c r="I434" s="20" t="str">
        <f t="shared" si="62"/>
        <v/>
      </c>
      <c r="J434" s="68"/>
      <c r="K434" s="21" t="str">
        <f t="shared" si="63"/>
        <v/>
      </c>
      <c r="L434" s="69"/>
      <c r="M434" s="22"/>
      <c r="N434" s="23"/>
      <c r="O434" s="24"/>
      <c r="P434" s="25"/>
      <c r="Q434" s="26" t="str">
        <f t="shared" si="65"/>
        <v/>
      </c>
    </row>
    <row r="435" spans="1:17" ht="20" customHeight="1" outlineLevel="1" x14ac:dyDescent="0.65">
      <c r="A435" s="14"/>
      <c r="B435" s="15" t="str">
        <f t="shared" si="60"/>
        <v/>
      </c>
      <c r="C435" s="16"/>
      <c r="D435" s="57"/>
      <c r="E435" s="57"/>
      <c r="F435" s="57"/>
      <c r="G435" s="19" t="str">
        <f t="shared" si="61"/>
        <v/>
      </c>
      <c r="H435" s="58"/>
      <c r="I435" s="20" t="str">
        <f t="shared" si="62"/>
        <v/>
      </c>
      <c r="J435" s="68"/>
      <c r="K435" s="21" t="str">
        <f t="shared" si="63"/>
        <v/>
      </c>
      <c r="L435" s="69"/>
      <c r="M435" s="22"/>
      <c r="N435" s="23"/>
      <c r="O435" s="24"/>
      <c r="P435" s="25"/>
      <c r="Q435" s="26" t="str">
        <f t="shared" si="65"/>
        <v/>
      </c>
    </row>
    <row r="436" spans="1:17" ht="20" customHeight="1" outlineLevel="1" x14ac:dyDescent="0.65">
      <c r="A436" s="14"/>
      <c r="B436" s="15" t="str">
        <f t="shared" si="60"/>
        <v/>
      </c>
      <c r="C436" s="16"/>
      <c r="D436" s="57"/>
      <c r="E436" s="57"/>
      <c r="F436" s="57"/>
      <c r="G436" s="19" t="str">
        <f t="shared" si="61"/>
        <v/>
      </c>
      <c r="H436" s="58"/>
      <c r="I436" s="20" t="str">
        <f t="shared" si="62"/>
        <v/>
      </c>
      <c r="J436" s="68"/>
      <c r="K436" s="21" t="str">
        <f t="shared" si="63"/>
        <v/>
      </c>
      <c r="L436" s="69"/>
      <c r="M436" s="22"/>
      <c r="N436" s="23"/>
      <c r="O436" s="24"/>
      <c r="P436" s="25"/>
      <c r="Q436" s="26" t="str">
        <f t="shared" si="65"/>
        <v/>
      </c>
    </row>
    <row r="437" spans="1:17" ht="20" customHeight="1" outlineLevel="1" x14ac:dyDescent="0.65">
      <c r="A437" s="14"/>
      <c r="B437" s="15" t="str">
        <f t="shared" si="60"/>
        <v/>
      </c>
      <c r="C437" s="16"/>
      <c r="D437" s="57"/>
      <c r="E437" s="57"/>
      <c r="F437" s="57"/>
      <c r="G437" s="19" t="str">
        <f t="shared" si="61"/>
        <v/>
      </c>
      <c r="H437" s="58"/>
      <c r="I437" s="20" t="str">
        <f t="shared" si="62"/>
        <v/>
      </c>
      <c r="J437" s="68"/>
      <c r="K437" s="21" t="str">
        <f t="shared" si="63"/>
        <v/>
      </c>
      <c r="L437" s="69"/>
      <c r="M437" s="22"/>
      <c r="N437" s="23"/>
      <c r="O437" s="24"/>
      <c r="P437" s="25"/>
      <c r="Q437" s="26" t="str">
        <f t="shared" si="65"/>
        <v/>
      </c>
    </row>
    <row r="438" spans="1:17" ht="20" customHeight="1" outlineLevel="1" x14ac:dyDescent="0.65">
      <c r="A438" s="14"/>
      <c r="B438" s="15" t="str">
        <f t="shared" si="60"/>
        <v/>
      </c>
      <c r="C438" s="16"/>
      <c r="D438" s="57"/>
      <c r="E438" s="57"/>
      <c r="F438" s="57"/>
      <c r="G438" s="19" t="str">
        <f t="shared" si="61"/>
        <v/>
      </c>
      <c r="H438" s="58"/>
      <c r="I438" s="20" t="str">
        <f t="shared" si="62"/>
        <v/>
      </c>
      <c r="J438" s="68"/>
      <c r="K438" s="21" t="str">
        <f t="shared" si="63"/>
        <v/>
      </c>
      <c r="L438" s="69"/>
      <c r="M438" s="22"/>
      <c r="N438" s="23"/>
      <c r="O438" s="24"/>
      <c r="P438" s="25"/>
      <c r="Q438" s="26" t="str">
        <f t="shared" si="65"/>
        <v/>
      </c>
    </row>
    <row r="439" spans="1:17" ht="20" customHeight="1" outlineLevel="1" x14ac:dyDescent="0.65">
      <c r="A439" s="14"/>
      <c r="B439" s="15" t="str">
        <f t="shared" si="60"/>
        <v/>
      </c>
      <c r="C439" s="16"/>
      <c r="D439" s="57"/>
      <c r="E439" s="57"/>
      <c r="F439" s="57"/>
      <c r="G439" s="19" t="str">
        <f t="shared" si="61"/>
        <v/>
      </c>
      <c r="H439" s="58"/>
      <c r="I439" s="20" t="str">
        <f t="shared" si="62"/>
        <v/>
      </c>
      <c r="J439" s="68"/>
      <c r="K439" s="21" t="str">
        <f t="shared" si="63"/>
        <v/>
      </c>
      <c r="L439" s="69"/>
      <c r="M439" s="22"/>
      <c r="N439" s="23"/>
      <c r="O439" s="24"/>
      <c r="P439" s="25"/>
      <c r="Q439" s="26" t="str">
        <f t="shared" si="65"/>
        <v/>
      </c>
    </row>
    <row r="440" spans="1:17" ht="20" customHeight="1" outlineLevel="1" x14ac:dyDescent="0.65">
      <c r="A440" s="14"/>
      <c r="B440" s="15" t="str">
        <f t="shared" si="60"/>
        <v/>
      </c>
      <c r="C440" s="16"/>
      <c r="D440" s="57"/>
      <c r="E440" s="57"/>
      <c r="F440" s="57"/>
      <c r="G440" s="19" t="str">
        <f t="shared" si="61"/>
        <v/>
      </c>
      <c r="H440" s="58"/>
      <c r="I440" s="20" t="str">
        <f t="shared" si="62"/>
        <v/>
      </c>
      <c r="J440" s="68"/>
      <c r="K440" s="21" t="str">
        <f t="shared" si="63"/>
        <v/>
      </c>
      <c r="L440" s="69"/>
      <c r="M440" s="22"/>
      <c r="N440" s="23"/>
      <c r="O440" s="24"/>
      <c r="P440" s="25"/>
      <c r="Q440" s="26" t="str">
        <f t="shared" si="65"/>
        <v/>
      </c>
    </row>
    <row r="441" spans="1:17" ht="20" customHeight="1" outlineLevel="1" x14ac:dyDescent="0.65">
      <c r="A441" s="14"/>
      <c r="B441" s="15" t="str">
        <f t="shared" si="60"/>
        <v/>
      </c>
      <c r="C441" s="16"/>
      <c r="D441" s="57"/>
      <c r="E441" s="57"/>
      <c r="F441" s="57"/>
      <c r="G441" s="19" t="str">
        <f t="shared" si="61"/>
        <v/>
      </c>
      <c r="H441" s="58"/>
      <c r="I441" s="20" t="str">
        <f t="shared" si="62"/>
        <v/>
      </c>
      <c r="J441" s="68"/>
      <c r="K441" s="21" t="str">
        <f t="shared" si="63"/>
        <v/>
      </c>
      <c r="L441" s="69"/>
      <c r="M441" s="22"/>
      <c r="N441" s="23"/>
      <c r="O441" s="24"/>
      <c r="P441" s="25"/>
      <c r="Q441" s="26" t="str">
        <f t="shared" si="65"/>
        <v/>
      </c>
    </row>
    <row r="442" spans="1:17" ht="20" customHeight="1" outlineLevel="1" x14ac:dyDescent="0.65">
      <c r="A442" s="14"/>
      <c r="B442" s="15" t="str">
        <f t="shared" si="60"/>
        <v/>
      </c>
      <c r="C442" s="16"/>
      <c r="D442" s="57"/>
      <c r="E442" s="57"/>
      <c r="F442" s="57"/>
      <c r="G442" s="19" t="str">
        <f t="shared" si="61"/>
        <v/>
      </c>
      <c r="H442" s="58"/>
      <c r="I442" s="20" t="str">
        <f t="shared" si="62"/>
        <v/>
      </c>
      <c r="J442" s="68"/>
      <c r="K442" s="21" t="str">
        <f t="shared" si="63"/>
        <v/>
      </c>
      <c r="L442" s="69"/>
      <c r="M442" s="22"/>
      <c r="N442" s="23"/>
      <c r="O442" s="24"/>
      <c r="P442" s="25"/>
      <c r="Q442" s="26" t="str">
        <f t="shared" si="65"/>
        <v/>
      </c>
    </row>
    <row r="443" spans="1:17" ht="20" customHeight="1" outlineLevel="1" x14ac:dyDescent="0.65">
      <c r="A443" s="14"/>
      <c r="B443" s="15" t="str">
        <f t="shared" si="60"/>
        <v/>
      </c>
      <c r="C443" s="16"/>
      <c r="D443" s="57"/>
      <c r="E443" s="57"/>
      <c r="F443" s="57"/>
      <c r="G443" s="19" t="str">
        <f t="shared" si="61"/>
        <v/>
      </c>
      <c r="H443" s="58"/>
      <c r="I443" s="20" t="str">
        <f t="shared" si="62"/>
        <v/>
      </c>
      <c r="J443" s="68"/>
      <c r="K443" s="21" t="str">
        <f t="shared" si="63"/>
        <v/>
      </c>
      <c r="L443" s="69"/>
      <c r="M443" s="22"/>
      <c r="N443" s="23"/>
      <c r="O443" s="24"/>
      <c r="P443" s="25"/>
      <c r="Q443" s="26" t="str">
        <f t="shared" si="65"/>
        <v/>
      </c>
    </row>
    <row r="444" spans="1:17" ht="20" customHeight="1" outlineLevel="1" x14ac:dyDescent="0.65">
      <c r="A444" s="14"/>
      <c r="B444" s="15" t="str">
        <f t="shared" si="60"/>
        <v/>
      </c>
      <c r="C444" s="16"/>
      <c r="D444" s="57"/>
      <c r="E444" s="57"/>
      <c r="F444" s="57"/>
      <c r="G444" s="19" t="str">
        <f t="shared" si="61"/>
        <v/>
      </c>
      <c r="H444" s="58"/>
      <c r="I444" s="20" t="str">
        <f t="shared" si="62"/>
        <v/>
      </c>
      <c r="J444" s="68"/>
      <c r="K444" s="21" t="str">
        <f t="shared" si="63"/>
        <v/>
      </c>
      <c r="L444" s="69"/>
      <c r="M444" s="22"/>
      <c r="N444" s="23"/>
      <c r="O444" s="24"/>
      <c r="P444" s="25"/>
      <c r="Q444" s="26" t="str">
        <f t="shared" si="65"/>
        <v/>
      </c>
    </row>
    <row r="445" spans="1:17" ht="20" customHeight="1" outlineLevel="1" x14ac:dyDescent="0.65">
      <c r="A445" s="14"/>
      <c r="B445" s="15" t="str">
        <f t="shared" si="60"/>
        <v/>
      </c>
      <c r="C445" s="16"/>
      <c r="D445" s="57"/>
      <c r="E445" s="57"/>
      <c r="F445" s="57"/>
      <c r="G445" s="19" t="str">
        <f t="shared" si="61"/>
        <v/>
      </c>
      <c r="H445" s="58"/>
      <c r="I445" s="20" t="str">
        <f t="shared" si="62"/>
        <v/>
      </c>
      <c r="J445" s="68"/>
      <c r="K445" s="21" t="str">
        <f t="shared" si="63"/>
        <v/>
      </c>
      <c r="L445" s="69"/>
      <c r="M445" s="22"/>
      <c r="N445" s="23"/>
      <c r="O445" s="24"/>
      <c r="P445" s="25"/>
      <c r="Q445" s="26" t="str">
        <f t="shared" si="65"/>
        <v/>
      </c>
    </row>
    <row r="446" spans="1:17" ht="20" customHeight="1" outlineLevel="1" x14ac:dyDescent="0.65">
      <c r="A446" s="14"/>
      <c r="B446" s="15" t="str">
        <f t="shared" si="60"/>
        <v/>
      </c>
      <c r="C446" s="16"/>
      <c r="D446" s="57"/>
      <c r="E446" s="57"/>
      <c r="F446" s="57"/>
      <c r="G446" s="19" t="str">
        <f t="shared" si="61"/>
        <v/>
      </c>
      <c r="H446" s="58"/>
      <c r="I446" s="20" t="str">
        <f t="shared" si="62"/>
        <v/>
      </c>
      <c r="J446" s="68"/>
      <c r="K446" s="21" t="str">
        <f t="shared" si="63"/>
        <v/>
      </c>
      <c r="L446" s="69"/>
      <c r="M446" s="22"/>
      <c r="N446" s="23"/>
      <c r="O446" s="24"/>
      <c r="P446" s="25"/>
      <c r="Q446" s="26" t="str">
        <f t="shared" si="65"/>
        <v/>
      </c>
    </row>
    <row r="447" spans="1:17" ht="20" customHeight="1" outlineLevel="1" x14ac:dyDescent="0.65">
      <c r="A447" s="14"/>
      <c r="B447" s="15" t="str">
        <f t="shared" si="60"/>
        <v/>
      </c>
      <c r="C447" s="16"/>
      <c r="D447" s="57"/>
      <c r="E447" s="57"/>
      <c r="F447" s="57"/>
      <c r="G447" s="19" t="str">
        <f t="shared" si="61"/>
        <v/>
      </c>
      <c r="H447" s="58"/>
      <c r="I447" s="20" t="str">
        <f t="shared" si="62"/>
        <v/>
      </c>
      <c r="J447" s="68"/>
      <c r="K447" s="21" t="str">
        <f t="shared" si="63"/>
        <v/>
      </c>
      <c r="L447" s="69"/>
      <c r="M447" s="22"/>
      <c r="N447" s="23"/>
      <c r="O447" s="24"/>
      <c r="P447" s="25"/>
      <c r="Q447" s="26" t="str">
        <f t="shared" si="65"/>
        <v/>
      </c>
    </row>
    <row r="448" spans="1:17" ht="20" customHeight="1" outlineLevel="1" x14ac:dyDescent="0.65">
      <c r="A448" s="14"/>
      <c r="B448" s="15" t="str">
        <f t="shared" si="60"/>
        <v/>
      </c>
      <c r="C448" s="16"/>
      <c r="D448" s="57"/>
      <c r="E448" s="57"/>
      <c r="F448" s="57"/>
      <c r="G448" s="19" t="str">
        <f t="shared" si="61"/>
        <v/>
      </c>
      <c r="H448" s="58"/>
      <c r="I448" s="20" t="str">
        <f t="shared" si="62"/>
        <v/>
      </c>
      <c r="J448" s="68"/>
      <c r="K448" s="21" t="str">
        <f t="shared" si="63"/>
        <v/>
      </c>
      <c r="L448" s="69"/>
      <c r="M448" s="22"/>
      <c r="N448" s="23"/>
      <c r="O448" s="24"/>
      <c r="P448" s="25"/>
      <c r="Q448" s="26" t="str">
        <f t="shared" si="65"/>
        <v/>
      </c>
    </row>
    <row r="449" spans="1:17" ht="20" customHeight="1" outlineLevel="1" x14ac:dyDescent="0.65">
      <c r="A449" s="14"/>
      <c r="B449" s="15" t="str">
        <f t="shared" si="60"/>
        <v/>
      </c>
      <c r="C449" s="16"/>
      <c r="D449" s="57"/>
      <c r="E449" s="57"/>
      <c r="F449" s="57"/>
      <c r="G449" s="19" t="str">
        <f t="shared" si="61"/>
        <v/>
      </c>
      <c r="H449" s="58"/>
      <c r="I449" s="20" t="str">
        <f t="shared" si="62"/>
        <v/>
      </c>
      <c r="J449" s="68"/>
      <c r="K449" s="21" t="str">
        <f t="shared" si="63"/>
        <v/>
      </c>
      <c r="L449" s="69"/>
      <c r="M449" s="22"/>
      <c r="N449" s="23"/>
      <c r="O449" s="24"/>
      <c r="P449" s="25"/>
      <c r="Q449" s="26" t="str">
        <f t="shared" si="65"/>
        <v/>
      </c>
    </row>
    <row r="450" spans="1:17" ht="20" customHeight="1" outlineLevel="1" x14ac:dyDescent="0.65">
      <c r="A450" s="14"/>
      <c r="B450" s="15" t="str">
        <f t="shared" si="60"/>
        <v/>
      </c>
      <c r="C450" s="16"/>
      <c r="D450" s="57"/>
      <c r="E450" s="57"/>
      <c r="F450" s="57"/>
      <c r="G450" s="19" t="str">
        <f t="shared" si="61"/>
        <v/>
      </c>
      <c r="H450" s="58"/>
      <c r="I450" s="20" t="str">
        <f t="shared" si="62"/>
        <v/>
      </c>
      <c r="J450" s="68"/>
      <c r="K450" s="21" t="str">
        <f t="shared" si="63"/>
        <v/>
      </c>
      <c r="L450" s="69"/>
      <c r="M450" s="22"/>
      <c r="N450" s="23"/>
      <c r="O450" s="24"/>
      <c r="P450" s="25"/>
      <c r="Q450" s="26" t="str">
        <f t="shared" si="65"/>
        <v/>
      </c>
    </row>
    <row r="451" spans="1:17" ht="20" customHeight="1" outlineLevel="1" x14ac:dyDescent="0.65">
      <c r="A451" s="14"/>
      <c r="B451" s="15" t="str">
        <f t="shared" si="60"/>
        <v/>
      </c>
      <c r="C451" s="16"/>
      <c r="D451" s="57"/>
      <c r="E451" s="57"/>
      <c r="F451" s="57"/>
      <c r="G451" s="19" t="str">
        <f t="shared" si="61"/>
        <v/>
      </c>
      <c r="H451" s="58"/>
      <c r="I451" s="20" t="str">
        <f t="shared" si="62"/>
        <v/>
      </c>
      <c r="J451" s="68"/>
      <c r="K451" s="21" t="str">
        <f t="shared" si="63"/>
        <v/>
      </c>
      <c r="L451" s="69"/>
      <c r="M451" s="22"/>
      <c r="N451" s="23"/>
      <c r="O451" s="24"/>
      <c r="P451" s="25"/>
      <c r="Q451" s="26" t="str">
        <f t="shared" si="65"/>
        <v/>
      </c>
    </row>
    <row r="452" spans="1:17" ht="20" customHeight="1" outlineLevel="1" x14ac:dyDescent="0.65">
      <c r="A452" s="14"/>
      <c r="B452" s="15" t="str">
        <f t="shared" si="60"/>
        <v/>
      </c>
      <c r="C452" s="16"/>
      <c r="D452" s="57"/>
      <c r="E452" s="57"/>
      <c r="F452" s="57"/>
      <c r="G452" s="19" t="str">
        <f t="shared" si="61"/>
        <v/>
      </c>
      <c r="H452" s="58"/>
      <c r="I452" s="20" t="str">
        <f t="shared" si="62"/>
        <v/>
      </c>
      <c r="J452" s="68"/>
      <c r="K452" s="21" t="str">
        <f t="shared" si="63"/>
        <v/>
      </c>
      <c r="L452" s="69"/>
      <c r="M452" s="22"/>
      <c r="N452" s="23"/>
      <c r="O452" s="24"/>
      <c r="P452" s="25"/>
      <c r="Q452" s="26" t="str">
        <f t="shared" si="65"/>
        <v/>
      </c>
    </row>
    <row r="453" spans="1:17" ht="20" customHeight="1" outlineLevel="1" x14ac:dyDescent="0.65">
      <c r="A453" s="14"/>
      <c r="B453" s="15" t="str">
        <f t="shared" si="60"/>
        <v/>
      </c>
      <c r="C453" s="16"/>
      <c r="D453" s="57"/>
      <c r="E453" s="57"/>
      <c r="F453" s="57"/>
      <c r="G453" s="19" t="str">
        <f t="shared" si="61"/>
        <v/>
      </c>
      <c r="H453" s="58"/>
      <c r="I453" s="20" t="str">
        <f t="shared" si="62"/>
        <v/>
      </c>
      <c r="J453" s="68"/>
      <c r="K453" s="21" t="str">
        <f t="shared" si="63"/>
        <v/>
      </c>
      <c r="L453" s="69"/>
      <c r="M453" s="22"/>
      <c r="N453" s="23"/>
      <c r="O453" s="24"/>
      <c r="P453" s="25"/>
      <c r="Q453" s="26" t="str">
        <f t="shared" si="65"/>
        <v/>
      </c>
    </row>
    <row r="454" spans="1:17" ht="20" customHeight="1" outlineLevel="1" x14ac:dyDescent="0.65">
      <c r="A454" s="14"/>
      <c r="B454" s="15" t="str">
        <f t="shared" si="60"/>
        <v/>
      </c>
      <c r="C454" s="16"/>
      <c r="D454" s="57"/>
      <c r="E454" s="57"/>
      <c r="F454" s="57"/>
      <c r="G454" s="19" t="str">
        <f t="shared" si="61"/>
        <v/>
      </c>
      <c r="H454" s="58"/>
      <c r="I454" s="20" t="str">
        <f t="shared" si="62"/>
        <v/>
      </c>
      <c r="J454" s="68"/>
      <c r="K454" s="21" t="str">
        <f t="shared" si="63"/>
        <v/>
      </c>
      <c r="L454" s="69"/>
      <c r="M454" s="22"/>
      <c r="N454" s="23"/>
      <c r="O454" s="24"/>
      <c r="P454" s="25"/>
      <c r="Q454" s="26" t="str">
        <f t="shared" si="65"/>
        <v/>
      </c>
    </row>
    <row r="455" spans="1:17" ht="20" customHeight="1" outlineLevel="1" x14ac:dyDescent="0.65">
      <c r="A455" s="14"/>
      <c r="B455" s="15" t="str">
        <f t="shared" si="60"/>
        <v/>
      </c>
      <c r="C455" s="16"/>
      <c r="D455" s="57"/>
      <c r="E455" s="57"/>
      <c r="F455" s="57"/>
      <c r="G455" s="19" t="str">
        <f t="shared" si="61"/>
        <v/>
      </c>
      <c r="H455" s="58"/>
      <c r="I455" s="20" t="str">
        <f t="shared" si="62"/>
        <v/>
      </c>
      <c r="J455" s="68"/>
      <c r="K455" s="21" t="str">
        <f t="shared" si="63"/>
        <v/>
      </c>
      <c r="L455" s="69"/>
      <c r="M455" s="22"/>
      <c r="N455" s="23"/>
      <c r="O455" s="24"/>
      <c r="P455" s="25"/>
      <c r="Q455" s="26" t="str">
        <f t="shared" si="65"/>
        <v/>
      </c>
    </row>
    <row r="456" spans="1:17" ht="20" customHeight="1" outlineLevel="1" x14ac:dyDescent="0.65">
      <c r="A456" s="14"/>
      <c r="B456" s="15" t="str">
        <f t="shared" si="60"/>
        <v/>
      </c>
      <c r="C456" s="16"/>
      <c r="D456" s="57"/>
      <c r="E456" s="57"/>
      <c r="F456" s="57"/>
      <c r="G456" s="19" t="str">
        <f t="shared" si="61"/>
        <v/>
      </c>
      <c r="H456" s="58"/>
      <c r="I456" s="20" t="str">
        <f t="shared" si="62"/>
        <v/>
      </c>
      <c r="J456" s="68"/>
      <c r="K456" s="21" t="str">
        <f t="shared" si="63"/>
        <v/>
      </c>
      <c r="L456" s="69"/>
      <c r="M456" s="22"/>
      <c r="N456" s="23"/>
      <c r="O456" s="24"/>
      <c r="P456" s="25"/>
      <c r="Q456" s="26" t="str">
        <f t="shared" si="65"/>
        <v/>
      </c>
    </row>
    <row r="457" spans="1:17" ht="20" customHeight="1" outlineLevel="1" x14ac:dyDescent="0.65">
      <c r="A457" s="14"/>
      <c r="B457" s="15" t="str">
        <f t="shared" si="60"/>
        <v/>
      </c>
      <c r="C457" s="16"/>
      <c r="D457" s="57"/>
      <c r="E457" s="57"/>
      <c r="F457" s="57"/>
      <c r="G457" s="19" t="str">
        <f t="shared" si="61"/>
        <v/>
      </c>
      <c r="H457" s="58"/>
      <c r="I457" s="20" t="str">
        <f t="shared" si="62"/>
        <v/>
      </c>
      <c r="J457" s="68"/>
      <c r="K457" s="21" t="str">
        <f t="shared" si="63"/>
        <v/>
      </c>
      <c r="L457" s="69"/>
      <c r="M457" s="22"/>
      <c r="N457" s="23"/>
      <c r="O457" s="24"/>
      <c r="P457" s="25"/>
      <c r="Q457" s="26" t="str">
        <f t="shared" si="65"/>
        <v/>
      </c>
    </row>
    <row r="458" spans="1:17" ht="20" customHeight="1" outlineLevel="1" x14ac:dyDescent="0.65">
      <c r="A458" s="14"/>
      <c r="B458" s="15" t="str">
        <f t="shared" si="60"/>
        <v/>
      </c>
      <c r="C458" s="16"/>
      <c r="D458" s="57"/>
      <c r="E458" s="57"/>
      <c r="F458" s="57"/>
      <c r="G458" s="19" t="str">
        <f t="shared" si="61"/>
        <v/>
      </c>
      <c r="H458" s="58"/>
      <c r="I458" s="20" t="str">
        <f t="shared" si="62"/>
        <v/>
      </c>
      <c r="J458" s="68"/>
      <c r="K458" s="21" t="str">
        <f t="shared" si="63"/>
        <v/>
      </c>
      <c r="L458" s="69"/>
      <c r="M458" s="22"/>
      <c r="N458" s="23"/>
      <c r="O458" s="24"/>
      <c r="P458" s="25"/>
      <c r="Q458" s="26" t="str">
        <f t="shared" si="65"/>
        <v/>
      </c>
    </row>
    <row r="459" spans="1:17" ht="20" customHeight="1" outlineLevel="1" x14ac:dyDescent="0.65">
      <c r="A459" s="14"/>
      <c r="B459" s="15" t="str">
        <f t="shared" si="60"/>
        <v/>
      </c>
      <c r="C459" s="16"/>
      <c r="D459" s="57"/>
      <c r="E459" s="57"/>
      <c r="F459" s="57"/>
      <c r="G459" s="19" t="str">
        <f t="shared" si="61"/>
        <v/>
      </c>
      <c r="H459" s="58"/>
      <c r="I459" s="20" t="str">
        <f t="shared" si="62"/>
        <v/>
      </c>
      <c r="J459" s="68"/>
      <c r="K459" s="21" t="str">
        <f t="shared" si="63"/>
        <v/>
      </c>
      <c r="L459" s="69"/>
      <c r="M459" s="22"/>
      <c r="N459" s="23"/>
      <c r="O459" s="24"/>
      <c r="P459" s="25"/>
      <c r="Q459" s="26" t="str">
        <f t="shared" si="65"/>
        <v/>
      </c>
    </row>
    <row r="460" spans="1:17" ht="20" customHeight="1" outlineLevel="1" x14ac:dyDescent="0.65">
      <c r="A460" s="14"/>
      <c r="B460" s="15" t="str">
        <f t="shared" si="60"/>
        <v/>
      </c>
      <c r="C460" s="16"/>
      <c r="D460" s="57"/>
      <c r="E460" s="57"/>
      <c r="F460" s="57"/>
      <c r="G460" s="19" t="str">
        <f t="shared" si="61"/>
        <v/>
      </c>
      <c r="H460" s="58"/>
      <c r="I460" s="20" t="str">
        <f t="shared" si="62"/>
        <v/>
      </c>
      <c r="J460" s="68"/>
      <c r="K460" s="21" t="str">
        <f t="shared" si="63"/>
        <v/>
      </c>
      <c r="L460" s="69"/>
      <c r="M460" s="22"/>
      <c r="N460" s="23"/>
      <c r="O460" s="24"/>
      <c r="P460" s="25"/>
      <c r="Q460" s="26" t="str">
        <f t="shared" si="65"/>
        <v/>
      </c>
    </row>
    <row r="461" spans="1:17" ht="20" customHeight="1" outlineLevel="1" x14ac:dyDescent="0.65">
      <c r="A461" s="14"/>
      <c r="B461" s="15" t="str">
        <f t="shared" si="60"/>
        <v/>
      </c>
      <c r="C461" s="16"/>
      <c r="D461" s="57"/>
      <c r="E461" s="57"/>
      <c r="F461" s="57"/>
      <c r="G461" s="19" t="str">
        <f t="shared" si="61"/>
        <v/>
      </c>
      <c r="H461" s="58"/>
      <c r="I461" s="20" t="str">
        <f t="shared" si="62"/>
        <v/>
      </c>
      <c r="J461" s="68"/>
      <c r="K461" s="21" t="str">
        <f t="shared" si="63"/>
        <v/>
      </c>
      <c r="L461" s="69"/>
      <c r="M461" s="22"/>
      <c r="N461" s="23"/>
      <c r="O461" s="24"/>
      <c r="P461" s="25"/>
      <c r="Q461" s="26" t="str">
        <f t="shared" si="65"/>
        <v/>
      </c>
    </row>
    <row r="462" spans="1:17" ht="20" customHeight="1" outlineLevel="1" x14ac:dyDescent="0.65">
      <c r="A462" s="14"/>
      <c r="B462" s="15" t="str">
        <f t="shared" si="60"/>
        <v/>
      </c>
      <c r="C462" s="16"/>
      <c r="D462" s="57"/>
      <c r="E462" s="57"/>
      <c r="F462" s="57"/>
      <c r="G462" s="19" t="str">
        <f t="shared" si="61"/>
        <v/>
      </c>
      <c r="H462" s="58"/>
      <c r="I462" s="20" t="str">
        <f t="shared" si="62"/>
        <v/>
      </c>
      <c r="J462" s="68"/>
      <c r="K462" s="21" t="str">
        <f t="shared" si="63"/>
        <v/>
      </c>
      <c r="L462" s="69"/>
      <c r="M462" s="22"/>
      <c r="N462" s="23"/>
      <c r="O462" s="24"/>
      <c r="P462" s="25"/>
      <c r="Q462" s="26" t="str">
        <f t="shared" si="65"/>
        <v/>
      </c>
    </row>
    <row r="463" spans="1:17" ht="20" customHeight="1" outlineLevel="1" x14ac:dyDescent="0.65">
      <c r="A463" s="14"/>
      <c r="B463" s="15" t="str">
        <f t="shared" si="60"/>
        <v/>
      </c>
      <c r="C463" s="16"/>
      <c r="D463" s="57"/>
      <c r="E463" s="57"/>
      <c r="F463" s="57"/>
      <c r="G463" s="19" t="str">
        <f t="shared" si="61"/>
        <v/>
      </c>
      <c r="H463" s="58"/>
      <c r="I463" s="20" t="str">
        <f t="shared" si="62"/>
        <v/>
      </c>
      <c r="J463" s="68"/>
      <c r="K463" s="21" t="str">
        <f t="shared" si="63"/>
        <v/>
      </c>
      <c r="L463" s="69"/>
      <c r="M463" s="22"/>
      <c r="N463" s="23"/>
      <c r="O463" s="24"/>
      <c r="P463" s="25"/>
      <c r="Q463" s="26" t="str">
        <f t="shared" si="65"/>
        <v/>
      </c>
    </row>
    <row r="464" spans="1:17" ht="20" customHeight="1" outlineLevel="1" x14ac:dyDescent="0.65">
      <c r="A464" s="14"/>
      <c r="B464" s="15" t="str">
        <f t="shared" si="60"/>
        <v/>
      </c>
      <c r="C464" s="16"/>
      <c r="D464" s="57"/>
      <c r="E464" s="57"/>
      <c r="F464" s="57"/>
      <c r="G464" s="19" t="str">
        <f t="shared" si="61"/>
        <v/>
      </c>
      <c r="H464" s="58"/>
      <c r="I464" s="20" t="str">
        <f t="shared" si="62"/>
        <v/>
      </c>
      <c r="J464" s="68"/>
      <c r="K464" s="21" t="str">
        <f t="shared" si="63"/>
        <v/>
      </c>
      <c r="L464" s="69"/>
      <c r="M464" s="22"/>
      <c r="N464" s="23"/>
      <c r="O464" s="24"/>
      <c r="P464" s="25"/>
      <c r="Q464" s="26" t="str">
        <f t="shared" si="65"/>
        <v/>
      </c>
    </row>
    <row r="465" spans="1:17" ht="20" customHeight="1" outlineLevel="1" x14ac:dyDescent="0.65">
      <c r="A465" s="14"/>
      <c r="B465" s="15" t="str">
        <f t="shared" si="60"/>
        <v/>
      </c>
      <c r="C465" s="16"/>
      <c r="D465" s="57"/>
      <c r="E465" s="57"/>
      <c r="F465" s="57"/>
      <c r="G465" s="19" t="str">
        <f t="shared" si="61"/>
        <v/>
      </c>
      <c r="H465" s="58"/>
      <c r="I465" s="20" t="str">
        <f t="shared" si="62"/>
        <v/>
      </c>
      <c r="J465" s="68"/>
      <c r="K465" s="21" t="str">
        <f t="shared" si="63"/>
        <v/>
      </c>
      <c r="L465" s="69"/>
      <c r="M465" s="22"/>
      <c r="N465" s="23"/>
      <c r="O465" s="24"/>
      <c r="P465" s="25"/>
      <c r="Q465" s="26" t="str">
        <f t="shared" si="65"/>
        <v/>
      </c>
    </row>
    <row r="466" spans="1:17" ht="20" customHeight="1" outlineLevel="1" x14ac:dyDescent="0.65">
      <c r="A466" s="14"/>
      <c r="B466" s="15" t="str">
        <f t="shared" si="60"/>
        <v/>
      </c>
      <c r="C466" s="16"/>
      <c r="D466" s="57"/>
      <c r="E466" s="57"/>
      <c r="F466" s="57"/>
      <c r="G466" s="19" t="str">
        <f t="shared" si="61"/>
        <v/>
      </c>
      <c r="H466" s="58"/>
      <c r="I466" s="20" t="str">
        <f t="shared" si="62"/>
        <v/>
      </c>
      <c r="J466" s="68"/>
      <c r="K466" s="21" t="str">
        <f t="shared" si="63"/>
        <v/>
      </c>
      <c r="L466" s="69"/>
      <c r="M466" s="22"/>
      <c r="N466" s="23"/>
      <c r="O466" s="24"/>
      <c r="P466" s="25"/>
      <c r="Q466" s="26" t="str">
        <f t="shared" si="65"/>
        <v/>
      </c>
    </row>
    <row r="467" spans="1:17" ht="20" customHeight="1" outlineLevel="1" x14ac:dyDescent="0.65">
      <c r="A467" s="14"/>
      <c r="B467" s="15" t="str">
        <f t="shared" ref="B467:B470" si="66">MID(H467,1,2)&amp;MID(J467,1,2)&amp;MID(L467,1,2)&amp;MID(C467,1,2)&amp;MID(M467,1,1)&amp;MID(N467,1,1)&amp;MID(O467,1,1)&amp;MID(P467,1,3)</f>
        <v/>
      </c>
      <c r="C467" s="16"/>
      <c r="D467" s="57"/>
      <c r="E467" s="57"/>
      <c r="F467" s="57"/>
      <c r="G467" s="19" t="str">
        <f t="shared" ref="G467:G470" si="67">IF(H467&lt;&gt;"","H:","")</f>
        <v/>
      </c>
      <c r="H467" s="58"/>
      <c r="I467" s="20" t="str">
        <f t="shared" ref="I467:I470" si="68">IF(J467&lt;&gt;"","W:","")</f>
        <v/>
      </c>
      <c r="J467" s="68"/>
      <c r="K467" s="21" t="str">
        <f t="shared" ref="K467:K470" si="69">IF(L467&lt;&gt;"","D:","")</f>
        <v/>
      </c>
      <c r="L467" s="69"/>
      <c r="M467" s="22"/>
      <c r="N467" s="23"/>
      <c r="O467" s="24"/>
      <c r="P467" s="25"/>
      <c r="Q467" s="26" t="str">
        <f t="shared" ref="Q467:Q470" si="70">IF(B467&lt;&gt;"",(C467&amp;M467&amp;N467&amp;O467&amp;P467&amp;" / "&amp;G467&amp;H467&amp;I467&amp;J467&amp;K467&amp;L467&amp;" mm"),"")</f>
        <v/>
      </c>
    </row>
    <row r="468" spans="1:17" ht="20" customHeight="1" outlineLevel="1" x14ac:dyDescent="0.65">
      <c r="A468" s="14"/>
      <c r="B468" s="15" t="str">
        <f t="shared" si="66"/>
        <v/>
      </c>
      <c r="C468" s="16"/>
      <c r="D468" s="57"/>
      <c r="E468" s="57"/>
      <c r="F468" s="57"/>
      <c r="G468" s="19" t="str">
        <f t="shared" si="67"/>
        <v/>
      </c>
      <c r="H468" s="58"/>
      <c r="I468" s="20" t="str">
        <f t="shared" si="68"/>
        <v/>
      </c>
      <c r="J468" s="68"/>
      <c r="K468" s="21" t="str">
        <f t="shared" si="69"/>
        <v/>
      </c>
      <c r="L468" s="69"/>
      <c r="M468" s="22"/>
      <c r="N468" s="23"/>
      <c r="O468" s="24"/>
      <c r="P468" s="25"/>
      <c r="Q468" s="26" t="str">
        <f t="shared" si="70"/>
        <v/>
      </c>
    </row>
    <row r="469" spans="1:17" ht="20" customHeight="1" outlineLevel="1" x14ac:dyDescent="0.65">
      <c r="A469" s="14"/>
      <c r="B469" s="15" t="str">
        <f t="shared" si="66"/>
        <v/>
      </c>
      <c r="C469" s="16"/>
      <c r="D469" s="57"/>
      <c r="E469" s="57"/>
      <c r="F469" s="57"/>
      <c r="G469" s="19" t="str">
        <f t="shared" si="67"/>
        <v/>
      </c>
      <c r="H469" s="58"/>
      <c r="I469" s="20" t="str">
        <f t="shared" si="68"/>
        <v/>
      </c>
      <c r="J469" s="68"/>
      <c r="K469" s="21" t="str">
        <f t="shared" si="69"/>
        <v/>
      </c>
      <c r="L469" s="69"/>
      <c r="M469" s="22"/>
      <c r="N469" s="23"/>
      <c r="O469" s="24"/>
      <c r="P469" s="25"/>
      <c r="Q469" s="26" t="str">
        <f t="shared" si="70"/>
        <v/>
      </c>
    </row>
    <row r="470" spans="1:17" ht="20" customHeight="1" outlineLevel="1" x14ac:dyDescent="0.65">
      <c r="A470" s="14"/>
      <c r="B470" s="15" t="str">
        <f t="shared" si="66"/>
        <v/>
      </c>
      <c r="C470" s="16"/>
      <c r="D470" s="57"/>
      <c r="E470" s="57"/>
      <c r="F470" s="57"/>
      <c r="G470" s="19" t="str">
        <f t="shared" si="67"/>
        <v/>
      </c>
      <c r="H470" s="58"/>
      <c r="I470" s="20" t="str">
        <f t="shared" si="68"/>
        <v/>
      </c>
      <c r="J470" s="68"/>
      <c r="K470" s="21" t="str">
        <f t="shared" si="69"/>
        <v/>
      </c>
      <c r="L470" s="69"/>
      <c r="M470" s="22"/>
      <c r="N470" s="23"/>
      <c r="O470" s="24"/>
      <c r="P470" s="25"/>
      <c r="Q470" s="26" t="str">
        <f t="shared" si="70"/>
        <v/>
      </c>
    </row>
  </sheetData>
  <dataConsolidate/>
  <mergeCells count="78">
    <mergeCell ref="S1:T1"/>
    <mergeCell ref="S2:T2"/>
    <mergeCell ref="S3:T3"/>
    <mergeCell ref="S4:T4"/>
    <mergeCell ref="AO5:AU5"/>
    <mergeCell ref="G5:H5"/>
    <mergeCell ref="I5:J5"/>
    <mergeCell ref="K5:L5"/>
    <mergeCell ref="S5:T5"/>
    <mergeCell ref="AE5:AF5"/>
    <mergeCell ref="BH20:BI33"/>
    <mergeCell ref="BJ20:BJ24"/>
    <mergeCell ref="BK20:BK24"/>
    <mergeCell ref="CI21:CI22"/>
    <mergeCell ref="BJ25:BJ29"/>
    <mergeCell ref="BK25:BK29"/>
    <mergeCell ref="CI26:CI27"/>
    <mergeCell ref="BH10:BH19"/>
    <mergeCell ref="BI10:BI19"/>
    <mergeCell ref="CJ11:CJ12"/>
    <mergeCell ref="CK11:CK12"/>
    <mergeCell ref="CL11:CL12"/>
    <mergeCell ref="BH34:BI39"/>
    <mergeCell ref="BJ34:BJ35"/>
    <mergeCell ref="BK34:BK35"/>
    <mergeCell ref="BJ36:BJ37"/>
    <mergeCell ref="BK36:BK37"/>
    <mergeCell ref="BJ38:BJ39"/>
    <mergeCell ref="BK38:BK39"/>
    <mergeCell ref="CO21:CO22"/>
    <mergeCell ref="CP21:CP22"/>
    <mergeCell ref="BJ10:BJ14"/>
    <mergeCell ref="BK10:BK14"/>
    <mergeCell ref="CI11:CI12"/>
    <mergeCell ref="CM11:CM12"/>
    <mergeCell ref="CN11:CN12"/>
    <mergeCell ref="BH4:BK4"/>
    <mergeCell ref="BL4:BZ4"/>
    <mergeCell ref="CF4:CP4"/>
    <mergeCell ref="BH6:BI9"/>
    <mergeCell ref="BJ6:BJ9"/>
    <mergeCell ref="BK6:BK9"/>
    <mergeCell ref="CI7:CI8"/>
    <mergeCell ref="CJ7:CJ8"/>
    <mergeCell ref="CK7:CK8"/>
    <mergeCell ref="CL7:CL8"/>
    <mergeCell ref="CM7:CM8"/>
    <mergeCell ref="CN7:CN8"/>
    <mergeCell ref="CO7:CO8"/>
    <mergeCell ref="CP7:CP8"/>
    <mergeCell ref="CO11:CO12"/>
    <mergeCell ref="CP11:CP12"/>
    <mergeCell ref="BJ15:BJ19"/>
    <mergeCell ref="BK15:BK19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J21:CJ22"/>
    <mergeCell ref="CK21:CK22"/>
    <mergeCell ref="CL21:CL22"/>
    <mergeCell ref="CM21:CM22"/>
    <mergeCell ref="CN21:CN22"/>
    <mergeCell ref="CP26:CP27"/>
    <mergeCell ref="BJ30:BJ31"/>
    <mergeCell ref="BK30:BK31"/>
    <mergeCell ref="BJ32:BJ33"/>
    <mergeCell ref="BK32:BK33"/>
    <mergeCell ref="CJ26:CJ27"/>
    <mergeCell ref="CK26:CK27"/>
    <mergeCell ref="CL26:CL27"/>
    <mergeCell ref="CM26:CM27"/>
    <mergeCell ref="CN26:CN27"/>
    <mergeCell ref="CO26:CO27"/>
  </mergeCells>
  <phoneticPr fontId="43" type="noConversion"/>
  <dataValidations disablePrompts="1" count="14">
    <dataValidation type="list" allowBlank="1" showInputMessage="1" showErrorMessage="1" sqref="Y7" xr:uid="{61131787-4212-46DD-8D63-1B4AF81B6847}">
      <formula1>"_SE,_NP,_NM,_NG,_Pe,_Me,_Gr"</formula1>
    </dataValidation>
    <dataValidation type="list" allowBlank="1" showInputMessage="1" showErrorMessage="1" sqref="W37" xr:uid="{D1DB719F-69AB-40C0-BDB0-7EEE97609691}">
      <formula1>"ATS,PM6"</formula1>
    </dataValidation>
    <dataValidation type="list" allowBlank="1" showInputMessage="1" showErrorMessage="1" sqref="W36" xr:uid="{DC7856FA-F188-4EBC-A933-6AF9BCD57895}">
      <formula1>"Pequeña,Meiana,Grande"</formula1>
    </dataValidation>
    <dataValidation type="list" allowBlank="1" showInputMessage="1" showErrorMessage="1" sqref="V17" xr:uid="{2DF08C57-3683-4824-A595-E3454FC1D28D}">
      <formula1>"600,1000"</formula1>
    </dataValidation>
    <dataValidation type="list" allowBlank="1" showInputMessage="1" showErrorMessage="1" sqref="V16" xr:uid="{88A7D367-AB3A-46B3-A365-05EE6C556831}">
      <formula1>"600,900,1000"</formula1>
    </dataValidation>
    <dataValidation type="list" allowBlank="1" showInputMessage="1" showErrorMessage="1" sqref="X8:X9" xr:uid="{0DA42A6F-9343-416D-A6B6-B1F00F8A520D}">
      <formula1>"Sencillo,Doble"</formula1>
    </dataValidation>
    <dataValidation type="list" allowBlank="1" showInputMessage="1" showErrorMessage="1" sqref="W8:W9" xr:uid="{AA2DF2BE-C052-4ED7-8767-82F2F105C510}">
      <formula1>"Pleno,Corte"</formula1>
    </dataValidation>
    <dataValidation type="list" allowBlank="1" showInputMessage="1" showErrorMessage="1" sqref="Y8:Y9" xr:uid="{CD8BEAAD-40FC-4BAC-A2F9-EDF49CD89A64}">
      <formula1>"_SE,_NP,_NM,_NG"</formula1>
    </dataValidation>
    <dataValidation type="list" allowBlank="1" showInputMessage="1" showErrorMessage="1" sqref="X7" xr:uid="{1EE2F65D-8D63-4D1C-AF96-0D2A3D90F268}">
      <formula1>"Sencillo,Doble,Placa"</formula1>
    </dataValidation>
    <dataValidation type="list" allowBlank="1" showInputMessage="1" showErrorMessage="1" sqref="W7" xr:uid="{91D46E3C-BF0F-4F38-842A-5CA8A14016D5}">
      <formula1>"Plena,Vidrio,Corte"</formula1>
    </dataValidation>
    <dataValidation type="list" allowBlank="1" showInputMessage="1" showErrorMessage="1" sqref="AA4" xr:uid="{2207F614-5BA9-4B4C-9ED3-9C42BB005288}">
      <formula1>"30,42,54,55,65,66"</formula1>
    </dataValidation>
    <dataValidation type="list" allowBlank="1" showInputMessage="1" showErrorMessage="1" sqref="AA3" xr:uid="{C27B2BD6-C938-462E-9DCB-55D69E80091D}">
      <formula1>"400,600,1000"</formula1>
    </dataValidation>
    <dataValidation type="list" allowBlank="1" showInputMessage="1" showErrorMessage="1" sqref="AA2" xr:uid="{7822DDFB-B637-4580-B481-FA1D6C721B48}">
      <formula1>"200,400,720,800,1120"</formula1>
    </dataValidation>
    <dataValidation type="list" allowBlank="1" showInputMessage="1" showErrorMessage="1" sqref="AA1" xr:uid="{76905C06-48AF-406F-96B6-63B5592D5070}">
      <formula1>"1800,2000,2200"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0604-17E3-4989-9DC9-D6BDAB927571}">
  <sheetPr codeName="Hoja16"/>
  <dimension ref="B1:HF753"/>
  <sheetViews>
    <sheetView showGridLines="0" tabSelected="1" topLeftCell="B1" zoomScaleNormal="100" zoomScaleSheetLayoutView="55" workbookViewId="0">
      <selection activeCell="P49" sqref="P49"/>
    </sheetView>
  </sheetViews>
  <sheetFormatPr baseColWidth="10" defaultColWidth="1.6640625" defaultRowHeight="19" x14ac:dyDescent="0.65"/>
  <cols>
    <col min="1" max="27" width="1.6640625" style="84"/>
    <col min="28" max="28" width="1.6640625" style="133"/>
    <col min="29" max="29" width="1.6640625" style="133" customWidth="1"/>
    <col min="30" max="30" width="1.6640625" style="153" customWidth="1"/>
    <col min="31" max="34" width="1.6640625" style="84"/>
    <col min="35" max="35" width="1.6640625" style="84" customWidth="1"/>
    <col min="36" max="48" width="1.6640625" style="84"/>
    <col min="49" max="49" width="1.6640625" style="84" customWidth="1"/>
    <col min="50" max="66" width="1.6640625" style="84"/>
    <col min="67" max="70" width="1.6640625" style="84" customWidth="1"/>
    <col min="71" max="83" width="1.6640625" style="84"/>
    <col min="84" max="89" width="1.6640625" style="84" customWidth="1"/>
    <col min="90" max="90" width="1.6640625" style="84"/>
    <col min="91" max="94" width="1.6640625" style="84" customWidth="1"/>
    <col min="95" max="96" width="1.6640625" style="84"/>
    <col min="97" max="97" width="1.6640625" style="84" customWidth="1"/>
    <col min="98" max="98" width="1.6640625" style="84"/>
    <col min="99" max="103" width="1.6640625" style="84" customWidth="1"/>
    <col min="104" max="108" width="1.6640625" style="84"/>
    <col min="109" max="110" width="1.6640625" style="84" customWidth="1"/>
    <col min="111" max="114" width="1.6640625" style="84"/>
    <col min="115" max="118" width="1.6640625" style="84" customWidth="1"/>
    <col min="119" max="120" width="1.6640625" style="84"/>
    <col min="121" max="124" width="1.6640625" style="84" customWidth="1"/>
    <col min="125" max="126" width="1.6640625" style="84"/>
    <col min="127" max="128" width="1.6640625" style="133" customWidth="1"/>
    <col min="129" max="129" width="1.6640625" style="133"/>
    <col min="130" max="153" width="1.6640625" style="84"/>
    <col min="154" max="154" width="10.75" style="84" customWidth="1"/>
    <col min="155" max="157" width="1.6640625" style="84"/>
    <col min="158" max="158" width="10.75" style="84" customWidth="1"/>
    <col min="159" max="161" width="1.6640625" style="84"/>
    <col min="162" max="162" width="1.6640625" style="84" customWidth="1"/>
    <col min="163" max="163" width="1.6640625" style="84"/>
    <col min="164" max="166" width="1.6640625" style="84" customWidth="1"/>
    <col min="167" max="168" width="1.6640625" style="84"/>
    <col min="169" max="173" width="1.6640625" style="121" customWidth="1"/>
    <col min="174" max="205" width="1.6640625" style="84"/>
    <col min="206" max="206" width="1.6640625" style="84" customWidth="1"/>
    <col min="207" max="16384" width="1.6640625" style="84"/>
  </cols>
  <sheetData>
    <row r="1" spans="2:178" ht="14.4" customHeight="1" thickTop="1" x14ac:dyDescent="0.65">
      <c r="B1" s="347" t="s">
        <v>570</v>
      </c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164"/>
      <c r="DX1" s="164"/>
      <c r="DY1" s="164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7"/>
      <c r="FM1" s="84"/>
      <c r="FN1" s="84"/>
      <c r="FO1" s="84"/>
      <c r="FP1" s="84"/>
      <c r="FQ1" s="84"/>
    </row>
    <row r="2" spans="2:178" ht="14.4" customHeight="1" x14ac:dyDescent="0.65">
      <c r="B2" s="349"/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353" t="e" vm="1">
        <v>#VALUE!</v>
      </c>
      <c r="DL2" s="353"/>
      <c r="DM2" s="353"/>
      <c r="DN2" s="354" t="s">
        <v>566</v>
      </c>
      <c r="DO2" s="354"/>
      <c r="DP2" s="354"/>
      <c r="DQ2" s="354"/>
      <c r="DR2" s="354"/>
      <c r="DS2" s="354"/>
      <c r="DT2" s="354"/>
      <c r="DU2" s="354"/>
      <c r="DV2" s="354"/>
      <c r="DW2" s="128"/>
      <c r="DX2" s="128"/>
      <c r="DY2" s="128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90"/>
      <c r="FP2" s="84"/>
      <c r="FQ2" s="84"/>
    </row>
    <row r="3" spans="2:178" ht="14.4" customHeight="1" x14ac:dyDescent="0.65">
      <c r="B3" s="349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0"/>
      <c r="AE3" s="350"/>
      <c r="AF3" s="350"/>
      <c r="AG3" s="350"/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353"/>
      <c r="DL3" s="353"/>
      <c r="DM3" s="353"/>
      <c r="DN3" s="354"/>
      <c r="DO3" s="354"/>
      <c r="DP3" s="354"/>
      <c r="DQ3" s="354"/>
      <c r="DR3" s="354"/>
      <c r="DS3" s="354"/>
      <c r="DT3" s="354"/>
      <c r="DU3" s="354"/>
      <c r="DV3" s="354"/>
      <c r="DW3" s="128"/>
      <c r="DX3" s="128"/>
      <c r="DY3" s="128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90"/>
      <c r="FP3" s="84"/>
      <c r="FQ3" s="84"/>
    </row>
    <row r="4" spans="2:178" ht="14.4" customHeight="1" thickBot="1" x14ac:dyDescent="0.7">
      <c r="B4" s="351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  <c r="AA4" s="352"/>
      <c r="AB4" s="352"/>
      <c r="AC4" s="352"/>
      <c r="AD4" s="352"/>
      <c r="AE4" s="352"/>
      <c r="AF4" s="352"/>
      <c r="AG4" s="352"/>
      <c r="AH4" s="352"/>
      <c r="AI4" s="352"/>
      <c r="AJ4" s="352"/>
      <c r="AK4" s="352"/>
      <c r="AL4" s="352"/>
      <c r="AM4" s="352"/>
      <c r="AN4" s="352"/>
      <c r="AO4" s="352"/>
      <c r="AP4" s="352"/>
      <c r="AQ4" s="352"/>
      <c r="AR4" s="352"/>
      <c r="AS4" s="352"/>
      <c r="AT4" s="352"/>
      <c r="AU4" s="352"/>
      <c r="AV4" s="352"/>
      <c r="AW4" s="352"/>
      <c r="AX4" s="352"/>
      <c r="AY4" s="352"/>
      <c r="AZ4" s="352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165"/>
      <c r="DX4" s="165"/>
      <c r="DY4" s="165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3"/>
      <c r="FP4" s="84"/>
      <c r="FQ4" s="84"/>
    </row>
    <row r="5" spans="2:178" ht="14.4" customHeight="1" thickTop="1" x14ac:dyDescent="0.65">
      <c r="B5" s="343" t="s">
        <v>567</v>
      </c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 t="s">
        <v>605</v>
      </c>
      <c r="T5" s="343"/>
      <c r="U5" s="343"/>
      <c r="V5" s="343"/>
      <c r="W5" s="343"/>
      <c r="X5" s="343"/>
      <c r="Y5" s="343"/>
      <c r="Z5" s="343"/>
      <c r="AA5" s="343"/>
      <c r="AB5" s="343"/>
      <c r="AC5" s="343"/>
      <c r="AD5" s="343"/>
      <c r="AE5" s="343"/>
      <c r="AF5" s="343"/>
      <c r="AG5" s="343"/>
      <c r="AH5" s="343"/>
      <c r="AI5" s="343"/>
      <c r="AJ5" s="343" t="s">
        <v>569</v>
      </c>
      <c r="AK5" s="343"/>
      <c r="AL5" s="343"/>
      <c r="AM5" s="343"/>
      <c r="AN5" s="343"/>
      <c r="AO5" s="343"/>
      <c r="AP5" s="343"/>
      <c r="AQ5" s="343"/>
      <c r="AR5" s="343"/>
      <c r="AS5" s="343"/>
      <c r="AT5" s="343"/>
      <c r="AU5" s="343"/>
      <c r="AV5" s="343"/>
      <c r="AW5" s="343"/>
      <c r="AX5" s="343"/>
      <c r="AY5" s="343"/>
      <c r="AZ5" s="343"/>
      <c r="BA5" s="355" t="s">
        <v>571</v>
      </c>
      <c r="BB5" s="356"/>
      <c r="BC5" s="356"/>
      <c r="BD5" s="356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7"/>
      <c r="BR5" s="343" t="s">
        <v>612</v>
      </c>
      <c r="BS5" s="343"/>
      <c r="BT5" s="343"/>
      <c r="BU5" s="343"/>
      <c r="BV5" s="343"/>
      <c r="BW5" s="343"/>
      <c r="BX5" s="343"/>
      <c r="BY5" s="343"/>
      <c r="BZ5" s="343"/>
      <c r="CA5" s="343"/>
      <c r="CB5" s="343"/>
      <c r="CC5" s="343"/>
      <c r="CD5" s="343"/>
      <c r="CE5" s="343"/>
      <c r="CF5" s="343"/>
      <c r="CG5" s="343"/>
      <c r="CH5" s="343"/>
      <c r="CI5" s="343" t="s">
        <v>611</v>
      </c>
      <c r="CJ5" s="343"/>
      <c r="CK5" s="343"/>
      <c r="CL5" s="343"/>
      <c r="CM5" s="343"/>
      <c r="CN5" s="343"/>
      <c r="CO5" s="343"/>
      <c r="CP5" s="343"/>
      <c r="CQ5" s="343"/>
      <c r="CR5" s="343"/>
      <c r="CS5" s="343"/>
      <c r="CT5" s="343"/>
      <c r="CU5" s="343"/>
      <c r="CV5" s="343"/>
      <c r="CW5" s="343"/>
      <c r="CX5" s="343"/>
      <c r="CY5" s="343"/>
      <c r="CZ5" s="343" t="s">
        <v>615</v>
      </c>
      <c r="DA5" s="343"/>
      <c r="DB5" s="343"/>
      <c r="DC5" s="343"/>
      <c r="DD5" s="343"/>
      <c r="DE5" s="343"/>
      <c r="DF5" s="343"/>
      <c r="DG5" s="343"/>
      <c r="DH5" s="343"/>
      <c r="DI5" s="343"/>
      <c r="DJ5" s="343"/>
      <c r="DK5" s="343"/>
      <c r="DL5" s="343"/>
      <c r="DM5" s="343"/>
      <c r="DN5" s="343"/>
      <c r="DO5" s="343"/>
      <c r="DP5" s="343"/>
      <c r="DQ5" s="343" t="s">
        <v>573</v>
      </c>
      <c r="DR5" s="343"/>
      <c r="DS5" s="343"/>
      <c r="DT5" s="343"/>
      <c r="DU5" s="343"/>
      <c r="DV5" s="343"/>
      <c r="DW5" s="343"/>
      <c r="DX5" s="343"/>
      <c r="DY5" s="343"/>
      <c r="DZ5" s="343"/>
      <c r="EA5" s="343"/>
      <c r="EB5" s="343"/>
      <c r="EC5" s="343"/>
      <c r="ED5" s="343"/>
      <c r="EE5" s="343"/>
      <c r="EF5" s="343"/>
      <c r="EG5" s="343"/>
      <c r="EH5" s="343" t="s">
        <v>572</v>
      </c>
      <c r="EI5" s="343"/>
      <c r="EJ5" s="343"/>
      <c r="EK5" s="343"/>
      <c r="EL5" s="343"/>
      <c r="EM5" s="343"/>
      <c r="EN5" s="343"/>
      <c r="EO5" s="343"/>
      <c r="EP5" s="343"/>
      <c r="EQ5" s="343"/>
      <c r="ER5" s="343"/>
      <c r="ES5" s="343"/>
      <c r="ET5" s="343"/>
      <c r="EU5" s="343"/>
      <c r="EV5" s="343"/>
      <c r="EW5" s="343"/>
      <c r="EX5" s="343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5"/>
      <c r="FP5" s="84"/>
      <c r="FQ5" s="84"/>
    </row>
    <row r="6" spans="2:178" ht="14.4" customHeight="1" x14ac:dyDescent="0.65">
      <c r="B6" s="344"/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  <c r="AA6" s="344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4"/>
      <c r="AO6" s="344"/>
      <c r="AP6" s="344"/>
      <c r="AQ6" s="344"/>
      <c r="AR6" s="344"/>
      <c r="AS6" s="344"/>
      <c r="AT6" s="344"/>
      <c r="AU6" s="344"/>
      <c r="AV6" s="344"/>
      <c r="AW6" s="344"/>
      <c r="AX6" s="344"/>
      <c r="AY6" s="344"/>
      <c r="AZ6" s="344"/>
      <c r="BA6" s="358"/>
      <c r="BB6" s="359"/>
      <c r="BC6" s="359"/>
      <c r="BD6" s="359"/>
      <c r="BE6" s="359"/>
      <c r="BF6" s="359"/>
      <c r="BG6" s="359"/>
      <c r="BH6" s="359"/>
      <c r="BI6" s="359"/>
      <c r="BJ6" s="359"/>
      <c r="BK6" s="359"/>
      <c r="BL6" s="359"/>
      <c r="BM6" s="359"/>
      <c r="BN6" s="359"/>
      <c r="BO6" s="359"/>
      <c r="BP6" s="359"/>
      <c r="BQ6" s="360"/>
      <c r="BR6" s="344"/>
      <c r="BS6" s="344"/>
      <c r="BT6" s="344"/>
      <c r="BU6" s="344"/>
      <c r="BV6" s="344"/>
      <c r="BW6" s="344"/>
      <c r="BX6" s="344"/>
      <c r="BY6" s="344"/>
      <c r="BZ6" s="344"/>
      <c r="CA6" s="344"/>
      <c r="CB6" s="344"/>
      <c r="CC6" s="344"/>
      <c r="CD6" s="344"/>
      <c r="CE6" s="344"/>
      <c r="CF6" s="344"/>
      <c r="CG6" s="344"/>
      <c r="CH6" s="344"/>
      <c r="CI6" s="344"/>
      <c r="CJ6" s="344"/>
      <c r="CK6" s="344"/>
      <c r="CL6" s="344"/>
      <c r="CM6" s="344"/>
      <c r="CN6" s="344"/>
      <c r="CO6" s="344"/>
      <c r="CP6" s="344"/>
      <c r="CQ6" s="344"/>
      <c r="CR6" s="344"/>
      <c r="CS6" s="344"/>
      <c r="CT6" s="344"/>
      <c r="CU6" s="344"/>
      <c r="CV6" s="344"/>
      <c r="CW6" s="344"/>
      <c r="CX6" s="344"/>
      <c r="CY6" s="344"/>
      <c r="CZ6" s="344"/>
      <c r="DA6" s="344"/>
      <c r="DB6" s="344"/>
      <c r="DC6" s="344"/>
      <c r="DD6" s="344"/>
      <c r="DE6" s="344"/>
      <c r="DF6" s="344"/>
      <c r="DG6" s="344"/>
      <c r="DH6" s="344"/>
      <c r="DI6" s="344"/>
      <c r="DJ6" s="344"/>
      <c r="DK6" s="344"/>
      <c r="DL6" s="344"/>
      <c r="DM6" s="344"/>
      <c r="DN6" s="344"/>
      <c r="DO6" s="344"/>
      <c r="DP6" s="344"/>
      <c r="DQ6" s="344"/>
      <c r="DR6" s="344"/>
      <c r="DS6" s="344"/>
      <c r="DT6" s="344"/>
      <c r="DU6" s="344"/>
      <c r="DV6" s="344"/>
      <c r="DW6" s="344"/>
      <c r="DX6" s="344"/>
      <c r="DY6" s="344"/>
      <c r="DZ6" s="344"/>
      <c r="EA6" s="344"/>
      <c r="EB6" s="344"/>
      <c r="EC6" s="344"/>
      <c r="ED6" s="344"/>
      <c r="EE6" s="344"/>
      <c r="EF6" s="344"/>
      <c r="EG6" s="344"/>
      <c r="EH6" s="344"/>
      <c r="EI6" s="344"/>
      <c r="EJ6" s="344"/>
      <c r="EK6" s="344"/>
      <c r="EL6" s="344"/>
      <c r="EM6" s="344"/>
      <c r="EN6" s="344"/>
      <c r="EO6" s="344"/>
      <c r="EP6" s="344"/>
      <c r="EQ6" s="344"/>
      <c r="ER6" s="344"/>
      <c r="ES6" s="344"/>
      <c r="ET6" s="344"/>
      <c r="EU6" s="344"/>
      <c r="EV6" s="344"/>
      <c r="EW6" s="344"/>
      <c r="EX6" s="344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7"/>
      <c r="FM6" s="84"/>
      <c r="FN6" s="84"/>
      <c r="FO6" s="84"/>
      <c r="FP6" s="84"/>
      <c r="FQ6" s="84"/>
    </row>
    <row r="7" spans="2:178" ht="14.4" customHeight="1" thickBot="1" x14ac:dyDescent="0.7"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345"/>
      <c r="AR7" s="345"/>
      <c r="AS7" s="345"/>
      <c r="AT7" s="345"/>
      <c r="AU7" s="345"/>
      <c r="AV7" s="345"/>
      <c r="AW7" s="345"/>
      <c r="AX7" s="345"/>
      <c r="AY7" s="345"/>
      <c r="AZ7" s="345"/>
      <c r="BA7" s="358"/>
      <c r="BB7" s="359"/>
      <c r="BC7" s="359"/>
      <c r="BD7" s="359"/>
      <c r="BE7" s="359"/>
      <c r="BF7" s="359"/>
      <c r="BG7" s="359"/>
      <c r="BH7" s="359"/>
      <c r="BI7" s="359"/>
      <c r="BJ7" s="359"/>
      <c r="BK7" s="359"/>
      <c r="BL7" s="359"/>
      <c r="BM7" s="359"/>
      <c r="BN7" s="359"/>
      <c r="BO7" s="359"/>
      <c r="BP7" s="359"/>
      <c r="BQ7" s="360"/>
      <c r="BR7" s="345"/>
      <c r="BS7" s="345"/>
      <c r="BT7" s="345"/>
      <c r="BU7" s="345"/>
      <c r="BV7" s="345"/>
      <c r="BW7" s="345"/>
      <c r="BX7" s="345"/>
      <c r="BY7" s="345"/>
      <c r="BZ7" s="345"/>
      <c r="CA7" s="345"/>
      <c r="CB7" s="345"/>
      <c r="CC7" s="345"/>
      <c r="CD7" s="345"/>
      <c r="CE7" s="345"/>
      <c r="CF7" s="345"/>
      <c r="CG7" s="345"/>
      <c r="CH7" s="345"/>
      <c r="CI7" s="345"/>
      <c r="CJ7" s="345"/>
      <c r="CK7" s="345"/>
      <c r="CL7" s="345"/>
      <c r="CM7" s="345"/>
      <c r="CN7" s="345"/>
      <c r="CO7" s="345"/>
      <c r="CP7" s="345"/>
      <c r="CQ7" s="345"/>
      <c r="CR7" s="345"/>
      <c r="CS7" s="345"/>
      <c r="CT7" s="345"/>
      <c r="CU7" s="345"/>
      <c r="CV7" s="345"/>
      <c r="CW7" s="345"/>
      <c r="CX7" s="345"/>
      <c r="CY7" s="345"/>
      <c r="CZ7" s="345"/>
      <c r="DA7" s="345"/>
      <c r="DB7" s="345"/>
      <c r="DC7" s="345"/>
      <c r="DD7" s="345"/>
      <c r="DE7" s="345"/>
      <c r="DF7" s="345"/>
      <c r="DG7" s="345"/>
      <c r="DH7" s="345"/>
      <c r="DI7" s="345"/>
      <c r="DJ7" s="345"/>
      <c r="DK7" s="345"/>
      <c r="DL7" s="345"/>
      <c r="DM7" s="345"/>
      <c r="DN7" s="345"/>
      <c r="DO7" s="345"/>
      <c r="DP7" s="345"/>
      <c r="DQ7" s="345"/>
      <c r="DR7" s="345"/>
      <c r="DS7" s="345"/>
      <c r="DT7" s="345"/>
      <c r="DU7" s="345"/>
      <c r="DV7" s="345"/>
      <c r="DW7" s="345"/>
      <c r="DX7" s="345"/>
      <c r="DY7" s="345"/>
      <c r="DZ7" s="345"/>
      <c r="EA7" s="345"/>
      <c r="EB7" s="345"/>
      <c r="EC7" s="345"/>
      <c r="ED7" s="345"/>
      <c r="EE7" s="345"/>
      <c r="EF7" s="345"/>
      <c r="EG7" s="345"/>
      <c r="EH7" s="345"/>
      <c r="EI7" s="345"/>
      <c r="EJ7" s="345"/>
      <c r="EK7" s="345"/>
      <c r="EL7" s="345"/>
      <c r="EM7" s="345"/>
      <c r="EN7" s="345"/>
      <c r="EO7" s="345"/>
      <c r="EP7" s="345"/>
      <c r="EQ7" s="345"/>
      <c r="ER7" s="345"/>
      <c r="ES7" s="345"/>
      <c r="ET7" s="345"/>
      <c r="EU7" s="345"/>
      <c r="EV7" s="345"/>
      <c r="EW7" s="345"/>
      <c r="EX7" s="345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9"/>
      <c r="FM7" s="84"/>
      <c r="FN7" s="84"/>
      <c r="FO7" s="84"/>
      <c r="FP7" s="84"/>
      <c r="FQ7" s="84"/>
    </row>
    <row r="8" spans="2:178" ht="14.4" customHeight="1" thickTop="1" x14ac:dyDescent="0.65">
      <c r="B8" s="100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/>
      <c r="T8" s="102"/>
      <c r="U8" s="102"/>
      <c r="V8" s="102"/>
      <c r="W8" s="102"/>
      <c r="X8" s="102"/>
      <c r="Y8" s="102"/>
      <c r="Z8" s="102"/>
      <c r="AA8" s="102"/>
      <c r="AB8" s="160"/>
      <c r="AC8" s="160"/>
      <c r="AD8" s="151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60"/>
      <c r="DX8" s="160"/>
      <c r="DY8" s="160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3"/>
      <c r="FR8" s="121"/>
      <c r="FS8" s="121"/>
      <c r="FT8" s="121"/>
      <c r="FU8" s="121"/>
      <c r="FV8" s="121"/>
    </row>
    <row r="9" spans="2:178" ht="14.4" customHeight="1" thickBot="1" x14ac:dyDescent="0.7">
      <c r="B9" s="100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61"/>
      <c r="AC9" s="161"/>
      <c r="AD9" s="175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166"/>
      <c r="DX9" s="166"/>
      <c r="DY9" s="166"/>
      <c r="DZ9" s="77"/>
      <c r="EA9" s="77"/>
      <c r="EB9" s="77"/>
      <c r="EC9" s="77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104"/>
      <c r="FR9" s="121"/>
      <c r="FS9" s="121"/>
      <c r="FT9" s="121"/>
      <c r="FU9" s="121"/>
      <c r="FV9" s="121"/>
    </row>
    <row r="10" spans="2:178" ht="14.4" customHeight="1" thickTop="1" x14ac:dyDescent="0.65">
      <c r="B10" s="391"/>
      <c r="C10" s="392"/>
      <c r="D10" s="392"/>
      <c r="E10" s="392"/>
      <c r="F10" s="392"/>
      <c r="G10" s="392"/>
      <c r="H10" s="396" t="s">
        <v>574</v>
      </c>
      <c r="I10" s="396"/>
      <c r="J10" s="396"/>
      <c r="K10" s="396"/>
      <c r="L10" s="396"/>
      <c r="M10" s="396"/>
      <c r="N10" s="396"/>
      <c r="O10" s="396"/>
      <c r="P10" s="396"/>
      <c r="Q10" s="396"/>
      <c r="R10" s="396"/>
      <c r="S10" s="396"/>
      <c r="T10" s="396"/>
      <c r="U10" s="396"/>
      <c r="V10" s="396"/>
      <c r="W10" s="396"/>
      <c r="X10" s="396"/>
      <c r="Y10" s="396"/>
      <c r="Z10" s="396"/>
      <c r="AA10" s="397"/>
      <c r="AB10" s="137"/>
      <c r="AC10" s="137"/>
      <c r="AD10" s="17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  <c r="BO10" s="146"/>
      <c r="BP10" s="146"/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46"/>
      <c r="CT10" s="146"/>
      <c r="CU10" s="146"/>
      <c r="CV10" s="146"/>
      <c r="CW10" s="146"/>
      <c r="CX10" s="146"/>
      <c r="CY10" s="146"/>
      <c r="CZ10" s="146"/>
      <c r="DA10" s="146"/>
      <c r="DB10" s="146"/>
      <c r="DC10" s="146"/>
      <c r="DD10" s="146"/>
      <c r="DE10" s="146"/>
      <c r="DF10" s="146"/>
      <c r="DG10" s="146"/>
      <c r="DH10" s="146"/>
      <c r="DI10" s="146"/>
      <c r="DJ10" s="146"/>
      <c r="DK10" s="146"/>
      <c r="DL10" s="146"/>
      <c r="DM10" s="146"/>
      <c r="DN10" s="146"/>
      <c r="DO10" s="146"/>
      <c r="DP10" s="146"/>
      <c r="DQ10" s="146"/>
      <c r="DR10" s="146"/>
      <c r="DS10" s="146"/>
      <c r="DT10" s="146"/>
      <c r="DU10" s="146"/>
      <c r="DV10" s="146"/>
      <c r="DW10" s="146"/>
      <c r="DX10" s="167"/>
      <c r="DY10" s="168"/>
      <c r="DZ10" s="402" t="s">
        <v>565</v>
      </c>
      <c r="EA10" s="403"/>
      <c r="EB10" s="403"/>
      <c r="EC10" s="403"/>
      <c r="ED10" s="403"/>
      <c r="EE10" s="403"/>
      <c r="EF10" s="403"/>
      <c r="EG10" s="403"/>
      <c r="EH10" s="403"/>
      <c r="EI10" s="403"/>
      <c r="EJ10" s="403"/>
      <c r="EK10" s="403"/>
      <c r="EL10" s="403"/>
      <c r="EM10" s="403"/>
      <c r="EN10" s="403"/>
      <c r="EO10" s="403"/>
      <c r="EP10" s="403"/>
      <c r="EQ10" s="403"/>
      <c r="ER10" s="403"/>
      <c r="ES10" s="403"/>
      <c r="ET10" s="403"/>
      <c r="EU10" s="403"/>
      <c r="EV10" s="403"/>
      <c r="EW10" s="403"/>
      <c r="EX10" s="403"/>
      <c r="EY10" s="403"/>
      <c r="EZ10" s="403"/>
      <c r="FA10" s="403"/>
      <c r="FB10" s="403"/>
      <c r="FC10" s="403"/>
      <c r="FD10" s="403"/>
      <c r="FE10" s="403"/>
      <c r="FF10" s="403"/>
      <c r="FG10" s="403"/>
      <c r="FH10" s="403"/>
      <c r="FI10" s="403"/>
      <c r="FJ10" s="404"/>
      <c r="FR10" s="121"/>
      <c r="FS10" s="121"/>
      <c r="FT10" s="121"/>
      <c r="FU10" s="121"/>
      <c r="FV10" s="121"/>
    </row>
    <row r="11" spans="2:178" ht="14.4" customHeight="1" x14ac:dyDescent="0.65">
      <c r="B11" s="393"/>
      <c r="C11" s="346"/>
      <c r="D11" s="346"/>
      <c r="E11" s="346"/>
      <c r="F11" s="346"/>
      <c r="G11" s="346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9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446"/>
      <c r="DX11" s="169"/>
      <c r="DY11" s="168"/>
      <c r="DZ11" s="405"/>
      <c r="EA11" s="406"/>
      <c r="EB11" s="406"/>
      <c r="EC11" s="406"/>
      <c r="ED11" s="406"/>
      <c r="EE11" s="406"/>
      <c r="EF11" s="406"/>
      <c r="EG11" s="406"/>
      <c r="EH11" s="406"/>
      <c r="EI11" s="406"/>
      <c r="EJ11" s="406"/>
      <c r="EK11" s="406"/>
      <c r="EL11" s="406"/>
      <c r="EM11" s="406"/>
      <c r="EN11" s="406"/>
      <c r="EO11" s="406"/>
      <c r="EP11" s="406"/>
      <c r="EQ11" s="406"/>
      <c r="ER11" s="406"/>
      <c r="ES11" s="406"/>
      <c r="ET11" s="406"/>
      <c r="EU11" s="406"/>
      <c r="EV11" s="406"/>
      <c r="EW11" s="406"/>
      <c r="EX11" s="406"/>
      <c r="EY11" s="406"/>
      <c r="EZ11" s="406"/>
      <c r="FA11" s="406"/>
      <c r="FB11" s="406"/>
      <c r="FC11" s="406"/>
      <c r="FD11" s="406"/>
      <c r="FE11" s="406"/>
      <c r="FF11" s="406"/>
      <c r="FG11" s="406"/>
      <c r="FH11" s="406"/>
      <c r="FI11" s="406"/>
      <c r="FJ11" s="407"/>
      <c r="FR11" s="121"/>
      <c r="FS11" s="121"/>
      <c r="FT11" s="121"/>
      <c r="FU11" s="121"/>
      <c r="FV11" s="121"/>
    </row>
    <row r="12" spans="2:178" ht="14.4" customHeight="1" x14ac:dyDescent="0.65">
      <c r="B12" s="393"/>
      <c r="C12" s="346"/>
      <c r="D12" s="346"/>
      <c r="E12" s="346"/>
      <c r="F12" s="346"/>
      <c r="G12" s="346"/>
      <c r="H12" s="398"/>
      <c r="I12" s="398"/>
      <c r="J12" s="398"/>
      <c r="K12" s="398"/>
      <c r="L12" s="398"/>
      <c r="M12" s="398"/>
      <c r="N12" s="398"/>
      <c r="O12" s="398"/>
      <c r="P12" s="398"/>
      <c r="Q12" s="398"/>
      <c r="R12" s="398"/>
      <c r="S12" s="398"/>
      <c r="T12" s="398"/>
      <c r="U12" s="398"/>
      <c r="V12" s="398"/>
      <c r="W12" s="398"/>
      <c r="X12" s="398"/>
      <c r="Y12" s="398"/>
      <c r="Z12" s="398"/>
      <c r="AA12" s="399"/>
      <c r="AB12" s="163"/>
      <c r="AC12" s="163"/>
      <c r="AD12" s="420"/>
      <c r="AE12" s="421"/>
      <c r="AF12" s="421"/>
      <c r="AG12" s="421"/>
      <c r="AH12" s="421"/>
      <c r="AI12" s="455" t="str" cm="1">
        <f t="array" ref="AI12">_xlfn.IFS(AI13="I","W2",AI13="E","W3",AI13="E*","W5")</f>
        <v>W3</v>
      </c>
      <c r="AJ12" s="421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1"/>
      <c r="BY12" s="421"/>
      <c r="BZ12" s="421"/>
      <c r="CA12" s="436" t="s">
        <v>622</v>
      </c>
      <c r="CB12" s="437"/>
      <c r="CC12" s="437"/>
      <c r="CD12" s="437"/>
      <c r="CE12" s="437"/>
      <c r="CF12" s="437"/>
      <c r="CG12" s="437"/>
      <c r="CH12" s="437"/>
      <c r="CI12" s="437"/>
      <c r="CJ12" s="437"/>
      <c r="CK12" s="437"/>
      <c r="CL12" s="437"/>
      <c r="CM12" s="437"/>
      <c r="CN12" s="437"/>
      <c r="CO12" s="437"/>
      <c r="CP12" s="437"/>
      <c r="CQ12" s="437"/>
      <c r="CR12" s="437"/>
      <c r="CS12" s="437"/>
      <c r="CT12" s="437"/>
      <c r="CU12" s="437"/>
      <c r="CV12" s="437"/>
      <c r="CW12" s="437"/>
      <c r="CX12" s="438"/>
      <c r="CY12" s="436" t="s">
        <v>880</v>
      </c>
      <c r="CZ12" s="437"/>
      <c r="DA12" s="437"/>
      <c r="DB12" s="437"/>
      <c r="DC12" s="437"/>
      <c r="DD12" s="437"/>
      <c r="DE12" s="437"/>
      <c r="DF12" s="437"/>
      <c r="DG12" s="437"/>
      <c r="DH12" s="437"/>
      <c r="DI12" s="437"/>
      <c r="DJ12" s="438"/>
      <c r="DK12" s="436" t="s">
        <v>881</v>
      </c>
      <c r="DL12" s="437"/>
      <c r="DM12" s="437"/>
      <c r="DN12" s="437"/>
      <c r="DO12" s="437"/>
      <c r="DP12" s="437"/>
      <c r="DQ12" s="437"/>
      <c r="DR12" s="437"/>
      <c r="DS12" s="437"/>
      <c r="DT12" s="437"/>
      <c r="DU12" s="437"/>
      <c r="DV12" s="437"/>
      <c r="DW12" s="445"/>
      <c r="DX12" s="447"/>
      <c r="DY12" s="150"/>
      <c r="DZ12" s="405"/>
      <c r="EA12" s="406"/>
      <c r="EB12" s="406"/>
      <c r="EC12" s="406"/>
      <c r="ED12" s="406"/>
      <c r="EE12" s="406"/>
      <c r="EF12" s="406"/>
      <c r="EG12" s="406"/>
      <c r="EH12" s="406"/>
      <c r="EI12" s="406"/>
      <c r="EJ12" s="406"/>
      <c r="EK12" s="406"/>
      <c r="EL12" s="406"/>
      <c r="EM12" s="406"/>
      <c r="EN12" s="406"/>
      <c r="EO12" s="406"/>
      <c r="EP12" s="406"/>
      <c r="EQ12" s="406"/>
      <c r="ER12" s="406"/>
      <c r="ES12" s="406"/>
      <c r="ET12" s="406"/>
      <c r="EU12" s="406"/>
      <c r="EV12" s="406"/>
      <c r="EW12" s="406"/>
      <c r="EX12" s="406"/>
      <c r="EY12" s="406"/>
      <c r="EZ12" s="406"/>
      <c r="FA12" s="406"/>
      <c r="FB12" s="406"/>
      <c r="FC12" s="406"/>
      <c r="FD12" s="406"/>
      <c r="FE12" s="406"/>
      <c r="FF12" s="406"/>
      <c r="FG12" s="406"/>
      <c r="FH12" s="406"/>
      <c r="FI12" s="406"/>
      <c r="FJ12" s="407"/>
      <c r="FR12" s="121"/>
      <c r="FS12" s="121"/>
      <c r="FT12" s="121"/>
      <c r="FU12" s="121"/>
      <c r="FV12" s="121"/>
    </row>
    <row r="13" spans="2:178" ht="14" customHeight="1" x14ac:dyDescent="0.65">
      <c r="B13" s="393"/>
      <c r="C13" s="346"/>
      <c r="D13" s="346"/>
      <c r="E13" s="346"/>
      <c r="F13" s="346"/>
      <c r="G13" s="346"/>
      <c r="H13" s="398"/>
      <c r="I13" s="398"/>
      <c r="J13" s="398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  <c r="Z13" s="398"/>
      <c r="AA13" s="399"/>
      <c r="AB13" s="163"/>
      <c r="AC13" s="163"/>
      <c r="AD13" s="439" t="s">
        <v>603</v>
      </c>
      <c r="AE13" s="440"/>
      <c r="AF13" s="440"/>
      <c r="AG13" s="441">
        <v>1</v>
      </c>
      <c r="AH13" s="441"/>
      <c r="AI13" s="442" t="s">
        <v>707</v>
      </c>
      <c r="AJ13" s="442"/>
      <c r="AK13" s="416" t="s">
        <v>878</v>
      </c>
      <c r="AL13" s="416"/>
      <c r="AM13" s="416"/>
      <c r="AN13" s="416"/>
      <c r="AO13" s="416"/>
      <c r="AP13" s="416"/>
      <c r="AQ13" s="416" t="s">
        <v>617</v>
      </c>
      <c r="AR13" s="416"/>
      <c r="AS13" s="416"/>
      <c r="AT13" s="416"/>
      <c r="AU13" s="416"/>
      <c r="AV13" s="416"/>
      <c r="AW13" s="416" t="s">
        <v>730</v>
      </c>
      <c r="AX13" s="416"/>
      <c r="AY13" s="416"/>
      <c r="AZ13" s="416"/>
      <c r="BA13" s="416"/>
      <c r="BB13" s="416"/>
      <c r="BC13" s="416" t="s">
        <v>708</v>
      </c>
      <c r="BD13" s="416"/>
      <c r="BE13" s="416"/>
      <c r="BF13" s="416"/>
      <c r="BG13" s="416"/>
      <c r="BH13" s="416"/>
      <c r="BI13" s="416" t="s">
        <v>619</v>
      </c>
      <c r="BJ13" s="416"/>
      <c r="BK13" s="416"/>
      <c r="BL13" s="416"/>
      <c r="BM13" s="416"/>
      <c r="BN13" s="416"/>
      <c r="BO13" s="416" t="s">
        <v>882</v>
      </c>
      <c r="BP13" s="416"/>
      <c r="BQ13" s="416"/>
      <c r="BR13" s="416"/>
      <c r="BS13" s="416"/>
      <c r="BT13" s="416"/>
      <c r="BU13" s="416" t="s">
        <v>623</v>
      </c>
      <c r="BV13" s="416"/>
      <c r="BW13" s="416"/>
      <c r="BX13" s="416"/>
      <c r="BY13" s="416"/>
      <c r="BZ13" s="416"/>
      <c r="CA13" s="448" t="s">
        <v>883</v>
      </c>
      <c r="CB13" s="448"/>
      <c r="CC13" s="448"/>
      <c r="CD13" s="448"/>
      <c r="CE13" s="448"/>
      <c r="CF13" s="448"/>
      <c r="CG13" s="448" t="s">
        <v>884</v>
      </c>
      <c r="CH13" s="448"/>
      <c r="CI13" s="448"/>
      <c r="CJ13" s="448"/>
      <c r="CK13" s="448"/>
      <c r="CL13" s="448"/>
      <c r="CM13" s="448" t="s">
        <v>885</v>
      </c>
      <c r="CN13" s="448"/>
      <c r="CO13" s="448"/>
      <c r="CP13" s="448"/>
      <c r="CQ13" s="448"/>
      <c r="CR13" s="448"/>
      <c r="CS13" s="448" t="s">
        <v>886</v>
      </c>
      <c r="CT13" s="448"/>
      <c r="CU13" s="448"/>
      <c r="CV13" s="448"/>
      <c r="CW13" s="448"/>
      <c r="CX13" s="448"/>
      <c r="CY13" s="450" t="s">
        <v>887</v>
      </c>
      <c r="CZ13" s="450"/>
      <c r="DA13" s="450"/>
      <c r="DB13" s="450"/>
      <c r="DC13" s="450"/>
      <c r="DD13" s="450"/>
      <c r="DE13" s="450" t="s">
        <v>879</v>
      </c>
      <c r="DF13" s="450"/>
      <c r="DG13" s="450"/>
      <c r="DH13" s="450"/>
      <c r="DI13" s="450"/>
      <c r="DJ13" s="450"/>
      <c r="DK13" s="452" t="s">
        <v>877</v>
      </c>
      <c r="DL13" s="452"/>
      <c r="DM13" s="452"/>
      <c r="DN13" s="452"/>
      <c r="DO13" s="452"/>
      <c r="DP13" s="452"/>
      <c r="DQ13" s="452" t="s">
        <v>876</v>
      </c>
      <c r="DR13" s="452"/>
      <c r="DS13" s="452"/>
      <c r="DT13" s="452"/>
      <c r="DU13" s="452"/>
      <c r="DV13" s="452"/>
      <c r="DW13" s="422"/>
      <c r="DX13" s="149"/>
      <c r="DY13" s="150"/>
      <c r="DZ13" s="405"/>
      <c r="EA13" s="406"/>
      <c r="EB13" s="406"/>
      <c r="EC13" s="406"/>
      <c r="ED13" s="406"/>
      <c r="EE13" s="406"/>
      <c r="EF13" s="406"/>
      <c r="EG13" s="406"/>
      <c r="EH13" s="406"/>
      <c r="EI13" s="406"/>
      <c r="EJ13" s="406"/>
      <c r="EK13" s="406"/>
      <c r="EL13" s="406"/>
      <c r="EM13" s="406"/>
      <c r="EN13" s="406"/>
      <c r="EO13" s="406"/>
      <c r="EP13" s="406"/>
      <c r="EQ13" s="406"/>
      <c r="ER13" s="406"/>
      <c r="ES13" s="406"/>
      <c r="ET13" s="406"/>
      <c r="EU13" s="406"/>
      <c r="EV13" s="406"/>
      <c r="EW13" s="406"/>
      <c r="EX13" s="406"/>
      <c r="EY13" s="406"/>
      <c r="EZ13" s="406"/>
      <c r="FA13" s="406"/>
      <c r="FB13" s="406"/>
      <c r="FC13" s="406"/>
      <c r="FD13" s="406"/>
      <c r="FE13" s="406"/>
      <c r="FF13" s="406"/>
      <c r="FG13" s="406"/>
      <c r="FH13" s="406"/>
      <c r="FI13" s="406"/>
      <c r="FJ13" s="407"/>
      <c r="FR13" s="121"/>
      <c r="FS13" s="121"/>
      <c r="FT13" s="121"/>
      <c r="FU13" s="121"/>
      <c r="FV13" s="121"/>
    </row>
    <row r="14" spans="2:178" ht="14" customHeight="1" thickBot="1" x14ac:dyDescent="0.7">
      <c r="B14" s="394"/>
      <c r="C14" s="395"/>
      <c r="D14" s="395"/>
      <c r="E14" s="395"/>
      <c r="F14" s="395"/>
      <c r="G14" s="395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0"/>
      <c r="Z14" s="400"/>
      <c r="AA14" s="401"/>
      <c r="AB14" s="163"/>
      <c r="AC14" s="163"/>
      <c r="AD14" s="439"/>
      <c r="AE14" s="440"/>
      <c r="AF14" s="440"/>
      <c r="AG14" s="441"/>
      <c r="AH14" s="441"/>
      <c r="AI14" s="442"/>
      <c r="AJ14" s="442"/>
      <c r="AK14" s="432"/>
      <c r="AL14" s="432"/>
      <c r="AM14" s="432"/>
      <c r="AN14" s="432"/>
      <c r="AO14" s="432"/>
      <c r="AP14" s="432"/>
      <c r="AQ14" s="432"/>
      <c r="AR14" s="432"/>
      <c r="AS14" s="432"/>
      <c r="AT14" s="432"/>
      <c r="AU14" s="432"/>
      <c r="AV14" s="432"/>
      <c r="AW14" s="432"/>
      <c r="AX14" s="432"/>
      <c r="AY14" s="432"/>
      <c r="AZ14" s="432"/>
      <c r="BA14" s="432"/>
      <c r="BB14" s="432"/>
      <c r="BC14" s="432"/>
      <c r="BD14" s="432"/>
      <c r="BE14" s="432"/>
      <c r="BF14" s="432"/>
      <c r="BG14" s="432"/>
      <c r="BH14" s="432"/>
      <c r="BI14" s="432"/>
      <c r="BJ14" s="432"/>
      <c r="BK14" s="432"/>
      <c r="BL14" s="432"/>
      <c r="BM14" s="432"/>
      <c r="BN14" s="432"/>
      <c r="BO14" s="432"/>
      <c r="BP14" s="432"/>
      <c r="BQ14" s="432"/>
      <c r="BR14" s="432"/>
      <c r="BS14" s="432"/>
      <c r="BT14" s="432"/>
      <c r="BU14" s="432"/>
      <c r="BV14" s="432"/>
      <c r="BW14" s="432"/>
      <c r="BX14" s="432"/>
      <c r="BY14" s="432"/>
      <c r="BZ14" s="432"/>
      <c r="CA14" s="449"/>
      <c r="CB14" s="449"/>
      <c r="CC14" s="449"/>
      <c r="CD14" s="449"/>
      <c r="CE14" s="449"/>
      <c r="CF14" s="449"/>
      <c r="CG14" s="449"/>
      <c r="CH14" s="449"/>
      <c r="CI14" s="449"/>
      <c r="CJ14" s="449"/>
      <c r="CK14" s="449"/>
      <c r="CL14" s="449"/>
      <c r="CM14" s="449"/>
      <c r="CN14" s="449"/>
      <c r="CO14" s="449"/>
      <c r="CP14" s="449"/>
      <c r="CQ14" s="449"/>
      <c r="CR14" s="449"/>
      <c r="CS14" s="449"/>
      <c r="CT14" s="449"/>
      <c r="CU14" s="449"/>
      <c r="CV14" s="449"/>
      <c r="CW14" s="449"/>
      <c r="CX14" s="449"/>
      <c r="CY14" s="451"/>
      <c r="CZ14" s="451"/>
      <c r="DA14" s="451"/>
      <c r="DB14" s="451"/>
      <c r="DC14" s="451"/>
      <c r="DD14" s="451"/>
      <c r="DE14" s="451"/>
      <c r="DF14" s="451"/>
      <c r="DG14" s="451"/>
      <c r="DH14" s="451"/>
      <c r="DI14" s="451"/>
      <c r="DJ14" s="451"/>
      <c r="DK14" s="453"/>
      <c r="DL14" s="453"/>
      <c r="DM14" s="453"/>
      <c r="DN14" s="453"/>
      <c r="DO14" s="453"/>
      <c r="DP14" s="453"/>
      <c r="DQ14" s="453"/>
      <c r="DR14" s="453"/>
      <c r="DS14" s="453"/>
      <c r="DT14" s="453"/>
      <c r="DU14" s="453"/>
      <c r="DV14" s="453"/>
      <c r="DW14" s="423"/>
      <c r="DX14" s="149"/>
      <c r="DY14" s="150"/>
      <c r="DZ14" s="408"/>
      <c r="EA14" s="409"/>
      <c r="EB14" s="409"/>
      <c r="EC14" s="409"/>
      <c r="ED14" s="409"/>
      <c r="EE14" s="409"/>
      <c r="EF14" s="409"/>
      <c r="EG14" s="409"/>
      <c r="EH14" s="409"/>
      <c r="EI14" s="409"/>
      <c r="EJ14" s="409"/>
      <c r="EK14" s="409"/>
      <c r="EL14" s="409"/>
      <c r="EM14" s="409"/>
      <c r="EN14" s="409"/>
      <c r="EO14" s="409"/>
      <c r="EP14" s="409"/>
      <c r="EQ14" s="409"/>
      <c r="ER14" s="409"/>
      <c r="ES14" s="409"/>
      <c r="ET14" s="409"/>
      <c r="EU14" s="409"/>
      <c r="EV14" s="409"/>
      <c r="EW14" s="409"/>
      <c r="EX14" s="409"/>
      <c r="EY14" s="409"/>
      <c r="EZ14" s="409"/>
      <c r="FA14" s="409"/>
      <c r="FB14" s="409"/>
      <c r="FC14" s="409"/>
      <c r="FD14" s="409"/>
      <c r="FE14" s="409"/>
      <c r="FF14" s="409"/>
      <c r="FG14" s="409"/>
      <c r="FH14" s="409"/>
      <c r="FI14" s="409"/>
      <c r="FJ14" s="410"/>
      <c r="FR14" s="121"/>
      <c r="FS14" s="121"/>
      <c r="FT14" s="121"/>
      <c r="FU14" s="121"/>
      <c r="FV14" s="121"/>
    </row>
    <row r="15" spans="2:178" ht="14" customHeight="1" thickTop="1" x14ac:dyDescent="0.65">
      <c r="B15" s="379"/>
      <c r="C15" s="380"/>
      <c r="D15" s="380"/>
      <c r="E15" s="380"/>
      <c r="F15" s="380"/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6"/>
      <c r="AB15" s="163"/>
      <c r="AC15" s="163"/>
      <c r="AD15" s="424"/>
      <c r="AE15" s="417"/>
      <c r="AF15" s="418"/>
      <c r="AG15" s="418"/>
      <c r="AH15" s="418"/>
      <c r="AI15" s="418"/>
      <c r="AJ15" s="418"/>
      <c r="AK15" s="417"/>
      <c r="AL15" s="418"/>
      <c r="AM15" s="418"/>
      <c r="AN15" s="418"/>
      <c r="AO15" s="418"/>
      <c r="AP15" s="419"/>
      <c r="AQ15" s="417"/>
      <c r="AR15" s="418"/>
      <c r="AS15" s="418"/>
      <c r="AT15" s="418"/>
      <c r="AU15" s="418"/>
      <c r="AV15" s="419"/>
      <c r="AW15" s="417"/>
      <c r="AX15" s="418"/>
      <c r="AY15" s="418"/>
      <c r="AZ15" s="418"/>
      <c r="BA15" s="418"/>
      <c r="BB15" s="419"/>
      <c r="BC15" s="417"/>
      <c r="BD15" s="418"/>
      <c r="BE15" s="418"/>
      <c r="BF15" s="418"/>
      <c r="BG15" s="418"/>
      <c r="BH15" s="419"/>
      <c r="BI15" s="417"/>
      <c r="BJ15" s="418"/>
      <c r="BK15" s="418"/>
      <c r="BL15" s="418"/>
      <c r="BM15" s="418"/>
      <c r="BN15" s="419"/>
      <c r="BO15" s="417"/>
      <c r="BP15" s="418"/>
      <c r="BQ15" s="418"/>
      <c r="BR15" s="418"/>
      <c r="BS15" s="418"/>
      <c r="BT15" s="419"/>
      <c r="BU15" s="417"/>
      <c r="BV15" s="418"/>
      <c r="BW15" s="418"/>
      <c r="BX15" s="418"/>
      <c r="BY15" s="418"/>
      <c r="BZ15" s="419"/>
      <c r="CA15" s="417"/>
      <c r="CB15" s="418"/>
      <c r="CC15" s="418"/>
      <c r="CD15" s="418"/>
      <c r="CE15" s="418"/>
      <c r="CF15" s="419"/>
      <c r="CG15" s="417"/>
      <c r="CH15" s="418"/>
      <c r="CI15" s="418"/>
      <c r="CJ15" s="418"/>
      <c r="CK15" s="418"/>
      <c r="CL15" s="419"/>
      <c r="CM15" s="417"/>
      <c r="CN15" s="418"/>
      <c r="CO15" s="418"/>
      <c r="CP15" s="418"/>
      <c r="CQ15" s="418"/>
      <c r="CR15" s="419"/>
      <c r="CS15" s="417"/>
      <c r="CT15" s="418"/>
      <c r="CU15" s="418"/>
      <c r="CV15" s="418"/>
      <c r="CW15" s="418"/>
      <c r="CX15" s="419"/>
      <c r="CY15" s="417"/>
      <c r="CZ15" s="418"/>
      <c r="DA15" s="418"/>
      <c r="DB15" s="418"/>
      <c r="DC15" s="418"/>
      <c r="DD15" s="419"/>
      <c r="DE15" s="417"/>
      <c r="DF15" s="418"/>
      <c r="DG15" s="418"/>
      <c r="DH15" s="418"/>
      <c r="DI15" s="418"/>
      <c r="DJ15" s="419"/>
      <c r="DK15" s="417"/>
      <c r="DL15" s="418"/>
      <c r="DM15" s="418"/>
      <c r="DN15" s="418"/>
      <c r="DO15" s="418"/>
      <c r="DP15" s="419"/>
      <c r="DQ15" s="417"/>
      <c r="DR15" s="418"/>
      <c r="DS15" s="418"/>
      <c r="DT15" s="418"/>
      <c r="DU15" s="418"/>
      <c r="DV15" s="419"/>
      <c r="DW15" s="423"/>
      <c r="DX15" s="149"/>
      <c r="DY15" s="150"/>
      <c r="DZ15" s="107"/>
      <c r="EA15" s="105"/>
      <c r="EB15" s="105"/>
      <c r="EC15" s="105"/>
      <c r="ED15" s="105"/>
      <c r="EE15" s="105"/>
      <c r="EF15" s="105"/>
      <c r="EG15" s="105"/>
      <c r="EH15" s="105"/>
      <c r="EI15" s="105"/>
      <c r="EJ15" s="105"/>
      <c r="EK15" s="105"/>
      <c r="EL15" s="105"/>
      <c r="EM15" s="105"/>
      <c r="EN15" s="105"/>
      <c r="EO15" s="105"/>
      <c r="EP15" s="105"/>
      <c r="EQ15" s="105"/>
      <c r="ER15" s="105"/>
      <c r="ES15" s="105"/>
      <c r="ET15" s="105"/>
      <c r="EU15" s="105"/>
      <c r="EV15" s="105"/>
      <c r="EW15" s="105"/>
      <c r="EX15" s="105"/>
      <c r="EY15" s="105"/>
      <c r="EZ15" s="105"/>
      <c r="FA15" s="105"/>
      <c r="FB15" s="105"/>
      <c r="FC15" s="105"/>
      <c r="FD15" s="105"/>
      <c r="FE15" s="105"/>
      <c r="FF15" s="105"/>
      <c r="FG15" s="105"/>
      <c r="FH15" s="105"/>
      <c r="FI15" s="105"/>
      <c r="FJ15" s="106"/>
      <c r="FR15" s="121"/>
      <c r="FS15" s="121"/>
      <c r="FT15" s="121"/>
      <c r="FU15" s="121"/>
      <c r="FV15" s="121"/>
    </row>
    <row r="16" spans="2:178" ht="14.4" customHeight="1" x14ac:dyDescent="0.65">
      <c r="B16" s="381"/>
      <c r="C16" s="382"/>
      <c r="D16" s="382"/>
      <c r="E16" s="382"/>
      <c r="F16" s="382"/>
      <c r="G16" s="387"/>
      <c r="H16" s="387"/>
      <c r="I16" s="387"/>
      <c r="J16" s="387"/>
      <c r="K16" s="387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8"/>
      <c r="AB16" s="163"/>
      <c r="AC16" s="163"/>
      <c r="AD16" s="425"/>
      <c r="AE16" s="140"/>
      <c r="AF16" s="414"/>
      <c r="AG16" s="414"/>
      <c r="AH16" s="414"/>
      <c r="AI16" s="414"/>
      <c r="AJ16" s="414"/>
      <c r="AK16" s="140"/>
      <c r="AL16" s="454" t="e" vm="2">
        <v>#VALUE!</v>
      </c>
      <c r="AM16" s="454"/>
      <c r="AN16" s="454"/>
      <c r="AO16" s="454"/>
      <c r="AP16" s="141"/>
      <c r="AQ16" s="140"/>
      <c r="AR16" s="411" t="e" vm="3">
        <v>#VALUE!</v>
      </c>
      <c r="AS16" s="411"/>
      <c r="AT16" s="411"/>
      <c r="AU16" s="411"/>
      <c r="AV16" s="141"/>
      <c r="AW16" s="140"/>
      <c r="AX16" s="415" t="e" vm="4">
        <v>#VALUE!</v>
      </c>
      <c r="AY16" s="415"/>
      <c r="AZ16" s="415"/>
      <c r="BA16" s="415"/>
      <c r="BB16" s="141"/>
      <c r="BC16" s="140"/>
      <c r="BD16" s="415" t="e" vm="5">
        <v>#VALUE!</v>
      </c>
      <c r="BE16" s="415"/>
      <c r="BF16" s="415"/>
      <c r="BG16" s="415"/>
      <c r="BH16" s="141"/>
      <c r="BI16" s="140"/>
      <c r="BJ16" s="411" t="e" vm="6">
        <v>#VALUE!</v>
      </c>
      <c r="BK16" s="411"/>
      <c r="BL16" s="411"/>
      <c r="BM16" s="411"/>
      <c r="BN16" s="141"/>
      <c r="BO16" s="140"/>
      <c r="BP16" s="415" t="e" vm="7">
        <v>#VALUE!</v>
      </c>
      <c r="BQ16" s="415"/>
      <c r="BR16" s="415"/>
      <c r="BS16" s="415"/>
      <c r="BT16" s="141"/>
      <c r="BU16" s="140"/>
      <c r="BV16" s="415" t="e" vm="8">
        <v>#VALUE!</v>
      </c>
      <c r="BW16" s="415"/>
      <c r="BX16" s="415"/>
      <c r="BY16" s="415"/>
      <c r="BZ16" s="141"/>
      <c r="CA16" s="443" t="e" vm="9">
        <v>#VALUE!</v>
      </c>
      <c r="CB16" s="415"/>
      <c r="CC16" s="415"/>
      <c r="CD16" s="415"/>
      <c r="CE16" s="415"/>
      <c r="CF16" s="444"/>
      <c r="CG16" s="443" t="e" vm="10">
        <v>#VALUE!</v>
      </c>
      <c r="CH16" s="415"/>
      <c r="CI16" s="415"/>
      <c r="CJ16" s="415"/>
      <c r="CK16" s="415"/>
      <c r="CL16" s="444"/>
      <c r="CM16" s="443" t="e" vm="11">
        <v>#VALUE!</v>
      </c>
      <c r="CN16" s="415"/>
      <c r="CO16" s="415"/>
      <c r="CP16" s="415"/>
      <c r="CQ16" s="415"/>
      <c r="CR16" s="444"/>
      <c r="CS16" s="443" t="e" vm="12">
        <v>#VALUE!</v>
      </c>
      <c r="CT16" s="415"/>
      <c r="CU16" s="415"/>
      <c r="CV16" s="415"/>
      <c r="CW16" s="415"/>
      <c r="CX16" s="444"/>
      <c r="CY16" s="443" t="e" vm="13">
        <v>#VALUE!</v>
      </c>
      <c r="CZ16" s="415"/>
      <c r="DA16" s="415"/>
      <c r="DB16" s="415"/>
      <c r="DC16" s="415"/>
      <c r="DD16" s="444"/>
      <c r="DE16" s="443" t="e" vm="14">
        <v>#VALUE!</v>
      </c>
      <c r="DF16" s="415"/>
      <c r="DG16" s="415"/>
      <c r="DH16" s="415"/>
      <c r="DI16" s="415"/>
      <c r="DJ16" s="444"/>
      <c r="DK16" s="443" t="e" vm="15">
        <v>#VALUE!</v>
      </c>
      <c r="DL16" s="415"/>
      <c r="DM16" s="415"/>
      <c r="DN16" s="415"/>
      <c r="DO16" s="415"/>
      <c r="DP16" s="444"/>
      <c r="DQ16" s="443" t="e" vm="16">
        <v>#VALUE!</v>
      </c>
      <c r="DR16" s="415"/>
      <c r="DS16" s="415"/>
      <c r="DT16" s="415"/>
      <c r="DU16" s="415"/>
      <c r="DV16" s="444"/>
      <c r="DW16" s="423"/>
      <c r="DX16" s="149"/>
      <c r="DY16" s="150"/>
      <c r="DZ16" s="107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5"/>
      <c r="FB16" s="105"/>
      <c r="FC16" s="105"/>
      <c r="FD16" s="105"/>
      <c r="FE16" s="105"/>
      <c r="FF16" s="105"/>
      <c r="FG16" s="105"/>
      <c r="FH16" s="105"/>
      <c r="FI16" s="105"/>
      <c r="FJ16" s="106"/>
      <c r="FR16" s="121"/>
      <c r="FS16" s="121"/>
      <c r="FT16" s="121"/>
      <c r="FU16" s="121"/>
      <c r="FV16" s="121"/>
    </row>
    <row r="17" spans="2:178" ht="14.4" customHeight="1" thickBot="1" x14ac:dyDescent="0.7">
      <c r="B17" s="383"/>
      <c r="C17" s="384"/>
      <c r="D17" s="384"/>
      <c r="E17" s="384"/>
      <c r="F17" s="384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90"/>
      <c r="AB17" s="163"/>
      <c r="AC17" s="163"/>
      <c r="AD17" s="425"/>
      <c r="AE17" s="140"/>
      <c r="AF17" s="414"/>
      <c r="AG17" s="414"/>
      <c r="AH17" s="414"/>
      <c r="AI17" s="414"/>
      <c r="AJ17" s="414"/>
      <c r="AK17" s="140"/>
      <c r="AL17" s="454"/>
      <c r="AM17" s="454"/>
      <c r="AN17" s="454"/>
      <c r="AO17" s="454"/>
      <c r="AP17" s="141"/>
      <c r="AQ17" s="140"/>
      <c r="AR17" s="411"/>
      <c r="AS17" s="411"/>
      <c r="AT17" s="411"/>
      <c r="AU17" s="411"/>
      <c r="AV17" s="141"/>
      <c r="AW17" s="140"/>
      <c r="AX17" s="415"/>
      <c r="AY17" s="415"/>
      <c r="AZ17" s="415"/>
      <c r="BA17" s="415"/>
      <c r="BB17" s="141"/>
      <c r="BC17" s="140"/>
      <c r="BD17" s="415"/>
      <c r="BE17" s="415"/>
      <c r="BF17" s="415"/>
      <c r="BG17" s="415"/>
      <c r="BH17" s="141"/>
      <c r="BI17" s="140"/>
      <c r="BJ17" s="411"/>
      <c r="BK17" s="411"/>
      <c r="BL17" s="411"/>
      <c r="BM17" s="411"/>
      <c r="BN17" s="141"/>
      <c r="BO17" s="140"/>
      <c r="BP17" s="415"/>
      <c r="BQ17" s="415"/>
      <c r="BR17" s="415"/>
      <c r="BS17" s="415"/>
      <c r="BT17" s="141"/>
      <c r="BU17" s="140"/>
      <c r="BV17" s="415"/>
      <c r="BW17" s="415"/>
      <c r="BX17" s="415"/>
      <c r="BY17" s="415"/>
      <c r="BZ17" s="141"/>
      <c r="CA17" s="443"/>
      <c r="CB17" s="415"/>
      <c r="CC17" s="415"/>
      <c r="CD17" s="415"/>
      <c r="CE17" s="415"/>
      <c r="CF17" s="444"/>
      <c r="CG17" s="443"/>
      <c r="CH17" s="415"/>
      <c r="CI17" s="415"/>
      <c r="CJ17" s="415"/>
      <c r="CK17" s="415"/>
      <c r="CL17" s="444"/>
      <c r="CM17" s="443"/>
      <c r="CN17" s="415"/>
      <c r="CO17" s="415"/>
      <c r="CP17" s="415"/>
      <c r="CQ17" s="415"/>
      <c r="CR17" s="444"/>
      <c r="CS17" s="443"/>
      <c r="CT17" s="415"/>
      <c r="CU17" s="415"/>
      <c r="CV17" s="415"/>
      <c r="CW17" s="415"/>
      <c r="CX17" s="444"/>
      <c r="CY17" s="443"/>
      <c r="CZ17" s="415"/>
      <c r="DA17" s="415"/>
      <c r="DB17" s="415"/>
      <c r="DC17" s="415"/>
      <c r="DD17" s="444"/>
      <c r="DE17" s="443"/>
      <c r="DF17" s="415"/>
      <c r="DG17" s="415"/>
      <c r="DH17" s="415"/>
      <c r="DI17" s="415"/>
      <c r="DJ17" s="444"/>
      <c r="DK17" s="443"/>
      <c r="DL17" s="415"/>
      <c r="DM17" s="415"/>
      <c r="DN17" s="415"/>
      <c r="DO17" s="415"/>
      <c r="DP17" s="444"/>
      <c r="DQ17" s="443"/>
      <c r="DR17" s="415"/>
      <c r="DS17" s="415"/>
      <c r="DT17" s="415"/>
      <c r="DU17" s="415"/>
      <c r="DV17" s="444"/>
      <c r="DW17" s="423"/>
      <c r="DX17" s="149"/>
      <c r="DY17" s="150"/>
      <c r="DZ17" s="107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5"/>
      <c r="FB17" s="105"/>
      <c r="FC17" s="105"/>
      <c r="FD17" s="105"/>
      <c r="FE17" s="105"/>
      <c r="FF17" s="105"/>
      <c r="FG17" s="105"/>
      <c r="FH17" s="105"/>
      <c r="FI17" s="105"/>
      <c r="FJ17" s="106"/>
      <c r="FR17" s="121"/>
      <c r="FS17" s="121"/>
      <c r="FT17" s="121"/>
      <c r="FU17" s="121"/>
      <c r="FV17" s="121"/>
    </row>
    <row r="18" spans="2:178" ht="14.4" customHeight="1" thickTop="1" x14ac:dyDescent="0.65">
      <c r="B18" s="379"/>
      <c r="C18" s="380"/>
      <c r="D18" s="380"/>
      <c r="E18" s="380"/>
      <c r="F18" s="380"/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  <c r="AA18" s="386"/>
      <c r="AB18" s="163"/>
      <c r="AC18" s="163"/>
      <c r="AD18" s="425"/>
      <c r="AE18" s="145"/>
      <c r="AF18" s="412"/>
      <c r="AG18" s="412"/>
      <c r="AH18" s="412"/>
      <c r="AI18" s="414"/>
      <c r="AJ18" s="414"/>
      <c r="AK18" s="140"/>
      <c r="AL18" s="454"/>
      <c r="AM18" s="454"/>
      <c r="AN18" s="454"/>
      <c r="AO18" s="454"/>
      <c r="AP18" s="141"/>
      <c r="AQ18" s="140"/>
      <c r="AR18" s="411"/>
      <c r="AS18" s="411"/>
      <c r="AT18" s="411"/>
      <c r="AU18" s="411"/>
      <c r="AV18" s="141"/>
      <c r="AW18" s="140"/>
      <c r="AX18" s="415"/>
      <c r="AY18" s="415"/>
      <c r="AZ18" s="415"/>
      <c r="BA18" s="415"/>
      <c r="BB18" s="141"/>
      <c r="BC18" s="140"/>
      <c r="BD18" s="415"/>
      <c r="BE18" s="415"/>
      <c r="BF18" s="415"/>
      <c r="BG18" s="415"/>
      <c r="BH18" s="141"/>
      <c r="BI18" s="140"/>
      <c r="BJ18" s="411"/>
      <c r="BK18" s="411"/>
      <c r="BL18" s="411"/>
      <c r="BM18" s="411"/>
      <c r="BN18" s="141"/>
      <c r="BO18" s="140"/>
      <c r="BP18" s="415"/>
      <c r="BQ18" s="415"/>
      <c r="BR18" s="415"/>
      <c r="BS18" s="415"/>
      <c r="BT18" s="141"/>
      <c r="BU18" s="140"/>
      <c r="BV18" s="415"/>
      <c r="BW18" s="415"/>
      <c r="BX18" s="415"/>
      <c r="BY18" s="415"/>
      <c r="BZ18" s="141"/>
      <c r="CA18" s="443"/>
      <c r="CB18" s="415"/>
      <c r="CC18" s="415"/>
      <c r="CD18" s="415"/>
      <c r="CE18" s="415"/>
      <c r="CF18" s="444"/>
      <c r="CG18" s="443"/>
      <c r="CH18" s="415"/>
      <c r="CI18" s="415"/>
      <c r="CJ18" s="415"/>
      <c r="CK18" s="415"/>
      <c r="CL18" s="444"/>
      <c r="CM18" s="443"/>
      <c r="CN18" s="415"/>
      <c r="CO18" s="415"/>
      <c r="CP18" s="415"/>
      <c r="CQ18" s="415"/>
      <c r="CR18" s="444"/>
      <c r="CS18" s="443"/>
      <c r="CT18" s="415"/>
      <c r="CU18" s="415"/>
      <c r="CV18" s="415"/>
      <c r="CW18" s="415"/>
      <c r="CX18" s="444"/>
      <c r="CY18" s="443"/>
      <c r="CZ18" s="415"/>
      <c r="DA18" s="415"/>
      <c r="DB18" s="415"/>
      <c r="DC18" s="415"/>
      <c r="DD18" s="444"/>
      <c r="DE18" s="443"/>
      <c r="DF18" s="415"/>
      <c r="DG18" s="415"/>
      <c r="DH18" s="415"/>
      <c r="DI18" s="415"/>
      <c r="DJ18" s="444"/>
      <c r="DK18" s="443"/>
      <c r="DL18" s="415"/>
      <c r="DM18" s="415"/>
      <c r="DN18" s="415"/>
      <c r="DO18" s="415"/>
      <c r="DP18" s="444"/>
      <c r="DQ18" s="443"/>
      <c r="DR18" s="415"/>
      <c r="DS18" s="415"/>
      <c r="DT18" s="415"/>
      <c r="DU18" s="415"/>
      <c r="DV18" s="444"/>
      <c r="DW18" s="423"/>
      <c r="DX18" s="149"/>
      <c r="DY18" s="150"/>
      <c r="DZ18" s="107"/>
      <c r="EA18" s="105"/>
      <c r="EB18" s="105"/>
      <c r="EC18" s="105"/>
      <c r="ED18" s="105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105"/>
      <c r="ES18" s="105"/>
      <c r="ET18" s="105"/>
      <c r="EU18" s="105"/>
      <c r="EV18" s="105"/>
      <c r="EW18" s="105"/>
      <c r="EX18" s="105"/>
      <c r="EY18" s="105"/>
      <c r="EZ18" s="105"/>
      <c r="FA18" s="105"/>
      <c r="FB18" s="105"/>
      <c r="FC18" s="105"/>
      <c r="FD18" s="105"/>
      <c r="FE18" s="105"/>
      <c r="FF18" s="105"/>
      <c r="FG18" s="105"/>
      <c r="FH18" s="105"/>
      <c r="FI18" s="105"/>
      <c r="FJ18" s="106"/>
      <c r="FR18" s="121"/>
      <c r="FS18" s="121"/>
      <c r="FT18" s="132"/>
      <c r="FU18" s="132"/>
      <c r="FV18" s="132"/>
    </row>
    <row r="19" spans="2:178" ht="14.4" customHeight="1" x14ac:dyDescent="0.65">
      <c r="B19" s="381"/>
      <c r="C19" s="382"/>
      <c r="D19" s="382"/>
      <c r="E19" s="382"/>
      <c r="F19" s="382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87"/>
      <c r="S19" s="387"/>
      <c r="T19" s="387"/>
      <c r="U19" s="387"/>
      <c r="V19" s="387"/>
      <c r="W19" s="387"/>
      <c r="X19" s="387"/>
      <c r="Y19" s="387"/>
      <c r="Z19" s="387"/>
      <c r="AA19" s="388"/>
      <c r="AB19" s="163"/>
      <c r="AC19" s="163"/>
      <c r="AD19" s="425"/>
      <c r="AE19" s="140"/>
      <c r="AF19" s="414"/>
      <c r="AG19" s="414"/>
      <c r="AH19" s="414"/>
      <c r="AI19" s="414"/>
      <c r="AJ19" s="414"/>
      <c r="AK19" s="140"/>
      <c r="AL19" s="454"/>
      <c r="AM19" s="454"/>
      <c r="AN19" s="454"/>
      <c r="AO19" s="454"/>
      <c r="AP19" s="141"/>
      <c r="AQ19" s="140"/>
      <c r="AR19" s="411"/>
      <c r="AS19" s="411"/>
      <c r="AT19" s="411"/>
      <c r="AU19" s="411"/>
      <c r="AV19" s="141"/>
      <c r="AW19" s="140"/>
      <c r="AX19" s="415"/>
      <c r="AY19" s="415"/>
      <c r="AZ19" s="415"/>
      <c r="BA19" s="415"/>
      <c r="BB19" s="141"/>
      <c r="BC19" s="140"/>
      <c r="BD19" s="415"/>
      <c r="BE19" s="415"/>
      <c r="BF19" s="415"/>
      <c r="BG19" s="415"/>
      <c r="BH19" s="141"/>
      <c r="BI19" s="140"/>
      <c r="BJ19" s="411"/>
      <c r="BK19" s="411"/>
      <c r="BL19" s="411"/>
      <c r="BM19" s="411"/>
      <c r="BN19" s="141"/>
      <c r="BO19" s="140"/>
      <c r="BP19" s="415"/>
      <c r="BQ19" s="415"/>
      <c r="BR19" s="415"/>
      <c r="BS19" s="415"/>
      <c r="BT19" s="141"/>
      <c r="BU19" s="140"/>
      <c r="BV19" s="415"/>
      <c r="BW19" s="415"/>
      <c r="BX19" s="415"/>
      <c r="BY19" s="415"/>
      <c r="BZ19" s="141"/>
      <c r="CA19" s="443"/>
      <c r="CB19" s="415"/>
      <c r="CC19" s="415"/>
      <c r="CD19" s="415"/>
      <c r="CE19" s="415"/>
      <c r="CF19" s="444"/>
      <c r="CG19" s="443"/>
      <c r="CH19" s="415"/>
      <c r="CI19" s="415"/>
      <c r="CJ19" s="415"/>
      <c r="CK19" s="415"/>
      <c r="CL19" s="444"/>
      <c r="CM19" s="443"/>
      <c r="CN19" s="415"/>
      <c r="CO19" s="415"/>
      <c r="CP19" s="415"/>
      <c r="CQ19" s="415"/>
      <c r="CR19" s="444"/>
      <c r="CS19" s="443"/>
      <c r="CT19" s="415"/>
      <c r="CU19" s="415"/>
      <c r="CV19" s="415"/>
      <c r="CW19" s="415"/>
      <c r="CX19" s="444"/>
      <c r="CY19" s="443"/>
      <c r="CZ19" s="415"/>
      <c r="DA19" s="415"/>
      <c r="DB19" s="415"/>
      <c r="DC19" s="415"/>
      <c r="DD19" s="444"/>
      <c r="DE19" s="443"/>
      <c r="DF19" s="415"/>
      <c r="DG19" s="415"/>
      <c r="DH19" s="415"/>
      <c r="DI19" s="415"/>
      <c r="DJ19" s="444"/>
      <c r="DK19" s="443"/>
      <c r="DL19" s="415"/>
      <c r="DM19" s="415"/>
      <c r="DN19" s="415"/>
      <c r="DO19" s="415"/>
      <c r="DP19" s="444"/>
      <c r="DQ19" s="443"/>
      <c r="DR19" s="415"/>
      <c r="DS19" s="415"/>
      <c r="DT19" s="415"/>
      <c r="DU19" s="415"/>
      <c r="DV19" s="444"/>
      <c r="DW19" s="423"/>
      <c r="DX19" s="149"/>
      <c r="DY19" s="150"/>
      <c r="DZ19" s="107"/>
      <c r="EA19" s="105"/>
      <c r="EB19" s="105"/>
      <c r="EC19" s="105"/>
      <c r="ED19" s="105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105"/>
      <c r="ES19" s="105"/>
      <c r="ET19" s="105"/>
      <c r="EU19" s="105"/>
      <c r="EV19" s="105"/>
      <c r="EW19" s="105"/>
      <c r="EX19" s="105"/>
      <c r="EY19" s="105"/>
      <c r="EZ19" s="105"/>
      <c r="FA19" s="105"/>
      <c r="FB19" s="105"/>
      <c r="FC19" s="105"/>
      <c r="FD19" s="105"/>
      <c r="FE19" s="105"/>
      <c r="FF19" s="105"/>
      <c r="FG19" s="105"/>
      <c r="FH19" s="105"/>
      <c r="FI19" s="105"/>
      <c r="FJ19" s="106"/>
      <c r="FR19" s="121"/>
      <c r="FS19" s="121"/>
      <c r="FT19" s="121"/>
      <c r="FU19" s="121"/>
      <c r="FV19" s="121"/>
    </row>
    <row r="20" spans="2:178" ht="14.4" customHeight="1" thickBot="1" x14ac:dyDescent="0.7">
      <c r="B20" s="383"/>
      <c r="C20" s="384"/>
      <c r="D20" s="384"/>
      <c r="E20" s="384"/>
      <c r="F20" s="384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90"/>
      <c r="AB20" s="163"/>
      <c r="AC20" s="163"/>
      <c r="AD20" s="514"/>
      <c r="AE20" s="140"/>
      <c r="AF20" s="414"/>
      <c r="AG20" s="414"/>
      <c r="AH20" s="414"/>
      <c r="AI20" s="414"/>
      <c r="AJ20" s="414"/>
      <c r="AK20" s="142"/>
      <c r="AL20" s="143"/>
      <c r="AM20" s="143"/>
      <c r="AN20" s="143"/>
      <c r="AO20" s="143"/>
      <c r="AP20" s="144"/>
      <c r="AQ20" s="142"/>
      <c r="AR20" s="143"/>
      <c r="AS20" s="143"/>
      <c r="AT20" s="143"/>
      <c r="AU20" s="143"/>
      <c r="AV20" s="144"/>
      <c r="AW20" s="142"/>
      <c r="AX20" s="143"/>
      <c r="AY20" s="143"/>
      <c r="AZ20" s="143"/>
      <c r="BA20" s="143"/>
      <c r="BB20" s="144"/>
      <c r="BC20" s="142"/>
      <c r="BD20" s="143"/>
      <c r="BE20" s="143"/>
      <c r="BF20" s="143"/>
      <c r="BG20" s="143"/>
      <c r="BH20" s="144"/>
      <c r="BI20" s="142"/>
      <c r="BJ20" s="143"/>
      <c r="BK20" s="143"/>
      <c r="BL20" s="143"/>
      <c r="BM20" s="143"/>
      <c r="BN20" s="144"/>
      <c r="BO20" s="142"/>
      <c r="BP20" s="143"/>
      <c r="BQ20" s="143"/>
      <c r="BR20" s="143"/>
      <c r="BS20" s="143"/>
      <c r="BT20" s="144"/>
      <c r="BU20" s="142"/>
      <c r="BV20" s="143"/>
      <c r="BW20" s="143"/>
      <c r="BX20" s="143"/>
      <c r="BY20" s="143"/>
      <c r="BZ20" s="144"/>
      <c r="CA20" s="142"/>
      <c r="CB20" s="143"/>
      <c r="CC20" s="143"/>
      <c r="CD20" s="143"/>
      <c r="CE20" s="143"/>
      <c r="CF20" s="144"/>
      <c r="CG20" s="142"/>
      <c r="CH20" s="143"/>
      <c r="CI20" s="143"/>
      <c r="CJ20" s="143"/>
      <c r="CK20" s="143"/>
      <c r="CL20" s="144"/>
      <c r="CM20" s="142"/>
      <c r="CN20" s="143"/>
      <c r="CO20" s="143"/>
      <c r="CP20" s="143"/>
      <c r="CQ20" s="143"/>
      <c r="CR20" s="144"/>
      <c r="CS20" s="142"/>
      <c r="CT20" s="143"/>
      <c r="CU20" s="143"/>
      <c r="CV20" s="143"/>
      <c r="CW20" s="143"/>
      <c r="CX20" s="144"/>
      <c r="CY20" s="142"/>
      <c r="CZ20" s="143"/>
      <c r="DA20" s="143"/>
      <c r="DB20" s="143"/>
      <c r="DC20" s="143"/>
      <c r="DD20" s="144"/>
      <c r="DE20" s="142"/>
      <c r="DF20" s="143"/>
      <c r="DG20" s="143"/>
      <c r="DH20" s="143"/>
      <c r="DI20" s="143"/>
      <c r="DJ20" s="144"/>
      <c r="DK20" s="142"/>
      <c r="DL20" s="143"/>
      <c r="DM20" s="143"/>
      <c r="DN20" s="143"/>
      <c r="DO20" s="143"/>
      <c r="DP20" s="144"/>
      <c r="DQ20" s="142"/>
      <c r="DR20" s="143"/>
      <c r="DS20" s="143"/>
      <c r="DT20" s="143"/>
      <c r="DU20" s="143"/>
      <c r="DV20" s="144"/>
      <c r="DW20" s="423"/>
      <c r="DX20" s="149"/>
      <c r="DY20" s="150"/>
      <c r="DZ20" s="107"/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105"/>
      <c r="ES20" s="105"/>
      <c r="ET20" s="105"/>
      <c r="EU20" s="105"/>
      <c r="EV20" s="105"/>
      <c r="EW20" s="105"/>
      <c r="EX20" s="105"/>
      <c r="EY20" s="105"/>
      <c r="EZ20" s="105"/>
      <c r="FA20" s="105"/>
      <c r="FB20" s="105"/>
      <c r="FC20" s="105"/>
      <c r="FD20" s="105"/>
      <c r="FE20" s="105"/>
      <c r="FF20" s="105"/>
      <c r="FG20" s="105"/>
      <c r="FH20" s="105"/>
      <c r="FI20" s="105"/>
      <c r="FJ20" s="106"/>
      <c r="FR20" s="121"/>
      <c r="FS20" s="121"/>
      <c r="FT20" s="121"/>
      <c r="FU20" s="121"/>
      <c r="FV20" s="121"/>
    </row>
    <row r="21" spans="2:178" ht="14.4" customHeight="1" thickTop="1" x14ac:dyDescent="0.65">
      <c r="B21" s="379"/>
      <c r="C21" s="380"/>
      <c r="D21" s="380"/>
      <c r="E21" s="380"/>
      <c r="F21" s="380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6"/>
      <c r="AB21" s="512" t="str">
        <f>MID(AK21,1,1)</f>
        <v>I</v>
      </c>
      <c r="AC21" s="512" t="str" cm="1">
        <f t="array" ref="AC21">IFERROR(_xlfn.IFS(AQ21="Mini Breaker","MB",AQ21="GoPact","GP",AQ21="EZC 100","EZ1",AQ21="EZC 250","EZ2",AQ21="CVS/NSX 250","CV2",AQ21="CVS/NSX/EZC 630","CV6",AQ21="NS 1600","NS1",AQ21="NW/MTZ 4000","NW4",AQ21="Conmutador PEQ.","CP",AQ21="Conmutador MED.","CM",AQ21="Conmutador GRA.","CG",AQ21="Contactores","CK"),"")</f>
        <v>CV2</v>
      </c>
      <c r="AD21" s="513" t="str" cm="1">
        <f t="array" ref="AD21">IFERROR(_xlfn.IFS(AW21="Horizontal","H",AW21="Horizontal COMPUESTA","HC",AW21="Vertical","V",AW21="Vertical Compacta","VC",AW21="Vertical Extendida","VE"),"")</f>
        <v>H</v>
      </c>
      <c r="AE21" s="464" t="s">
        <v>602</v>
      </c>
      <c r="AF21" s="465"/>
      <c r="AG21" s="465"/>
      <c r="AH21" s="466" t="s">
        <v>604</v>
      </c>
      <c r="AI21" s="466"/>
      <c r="AJ21" s="467"/>
      <c r="AK21" s="480" t="s">
        <v>888</v>
      </c>
      <c r="AL21" s="480"/>
      <c r="AM21" s="480"/>
      <c r="AN21" s="480"/>
      <c r="AO21" s="480"/>
      <c r="AP21" s="481"/>
      <c r="AQ21" s="482" t="s">
        <v>714</v>
      </c>
      <c r="AR21" s="482"/>
      <c r="AS21" s="482"/>
      <c r="AT21" s="482"/>
      <c r="AU21" s="482"/>
      <c r="AV21" s="483"/>
      <c r="AW21" s="482" t="s">
        <v>84</v>
      </c>
      <c r="AX21" s="482"/>
      <c r="AY21" s="482"/>
      <c r="AZ21" s="482"/>
      <c r="BA21" s="482"/>
      <c r="BB21" s="483"/>
      <c r="BC21" s="482" t="s">
        <v>601</v>
      </c>
      <c r="BD21" s="482"/>
      <c r="BE21" s="482"/>
      <c r="BF21" s="482"/>
      <c r="BG21" s="482"/>
      <c r="BH21" s="483"/>
      <c r="BI21" s="482" t="s">
        <v>710</v>
      </c>
      <c r="BJ21" s="482"/>
      <c r="BK21" s="482"/>
      <c r="BL21" s="482"/>
      <c r="BM21" s="482"/>
      <c r="BN21" s="483"/>
      <c r="BO21" s="491" t="s">
        <v>620</v>
      </c>
      <c r="BP21" s="491"/>
      <c r="BQ21" s="491"/>
      <c r="BR21" s="491"/>
      <c r="BS21" s="491"/>
      <c r="BT21" s="492"/>
      <c r="BU21" s="504" t="s">
        <v>564</v>
      </c>
      <c r="BV21" s="482"/>
      <c r="BW21" s="482"/>
      <c r="BX21" s="482"/>
      <c r="BY21" s="482"/>
      <c r="BZ21" s="483"/>
      <c r="CA21" s="500" t="s">
        <v>564</v>
      </c>
      <c r="CB21" s="456"/>
      <c r="CC21" s="456"/>
      <c r="CD21" s="456"/>
      <c r="CE21" s="456"/>
      <c r="CF21" s="457"/>
      <c r="CG21" s="500" t="s">
        <v>564</v>
      </c>
      <c r="CH21" s="456"/>
      <c r="CI21" s="456"/>
      <c r="CJ21" s="456"/>
      <c r="CK21" s="456"/>
      <c r="CL21" s="457"/>
      <c r="CM21" s="500" t="s">
        <v>564</v>
      </c>
      <c r="CN21" s="456"/>
      <c r="CO21" s="456"/>
      <c r="CP21" s="456"/>
      <c r="CQ21" s="456"/>
      <c r="CR21" s="457"/>
      <c r="CS21" s="500" t="str">
        <f>IFERROR(VLOOKUP(AD22,BD!AD6:AX49,19,FALSE),"")</f>
        <v>021084</v>
      </c>
      <c r="CT21" s="456"/>
      <c r="CU21" s="456"/>
      <c r="CV21" s="456"/>
      <c r="CW21" s="456"/>
      <c r="CX21" s="457"/>
      <c r="CY21" s="500" t="str">
        <f>IFERROR(VLOOKUP(AD22,BD!AD6:AX49,20,FALSE),"")</f>
        <v>024005</v>
      </c>
      <c r="CZ21" s="456"/>
      <c r="DA21" s="456"/>
      <c r="DB21" s="456"/>
      <c r="DC21" s="456"/>
      <c r="DD21" s="457"/>
      <c r="DE21" s="500" t="str">
        <f>IF(AK21="Abatible","######","")</f>
        <v/>
      </c>
      <c r="DF21" s="456"/>
      <c r="DG21" s="456"/>
      <c r="DH21" s="456"/>
      <c r="DI21" s="456"/>
      <c r="DJ21" s="457"/>
      <c r="DK21" s="500" t="s">
        <v>564</v>
      </c>
      <c r="DL21" s="456"/>
      <c r="DM21" s="456"/>
      <c r="DN21" s="456"/>
      <c r="DO21" s="456"/>
      <c r="DP21" s="457"/>
      <c r="DQ21" s="502" t="b">
        <v>0</v>
      </c>
      <c r="DR21" s="456" t="str">
        <f>IF(DQ21=TRUE,"######","")</f>
        <v/>
      </c>
      <c r="DS21" s="456"/>
      <c r="DT21" s="456"/>
      <c r="DU21" s="456"/>
      <c r="DV21" s="457"/>
      <c r="DW21" s="423"/>
      <c r="DX21" s="149"/>
      <c r="DY21" s="150"/>
      <c r="DZ21" s="107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5"/>
      <c r="FI21" s="105"/>
      <c r="FJ21" s="106"/>
    </row>
    <row r="22" spans="2:178" ht="14.4" customHeight="1" x14ac:dyDescent="0.65">
      <c r="B22" s="381"/>
      <c r="C22" s="382"/>
      <c r="D22" s="382"/>
      <c r="E22" s="382"/>
      <c r="F22" s="382"/>
      <c r="G22" s="387"/>
      <c r="H22" s="387"/>
      <c r="I22" s="387"/>
      <c r="J22" s="387"/>
      <c r="K22" s="387"/>
      <c r="L22" s="387"/>
      <c r="M22" s="387"/>
      <c r="N22" s="387"/>
      <c r="O22" s="387"/>
      <c r="P22" s="387"/>
      <c r="Q22" s="387"/>
      <c r="R22" s="387"/>
      <c r="S22" s="387"/>
      <c r="T22" s="387"/>
      <c r="U22" s="387"/>
      <c r="V22" s="387"/>
      <c r="W22" s="387"/>
      <c r="X22" s="387"/>
      <c r="Y22" s="387"/>
      <c r="Z22" s="387"/>
      <c r="AA22" s="388"/>
      <c r="AB22" s="512" t="str">
        <f>MID(BC21,1,1)</f>
        <v>F</v>
      </c>
      <c r="AC22" s="512" t="str">
        <f>IFERROR(MID(BI21,1,1),"")</f>
        <v>P</v>
      </c>
      <c r="AD22" s="513" t="str">
        <f>AB21&amp;AC21&amp;AD21&amp;AB22&amp;AC22&amp;$AI$12&amp;BU21</f>
        <v>ICV2HFPW3-</v>
      </c>
      <c r="AE22" s="468"/>
      <c r="AF22" s="469"/>
      <c r="AG22" s="469"/>
      <c r="AH22" s="470"/>
      <c r="AI22" s="470"/>
      <c r="AJ22" s="471"/>
      <c r="AK22" s="484"/>
      <c r="AL22" s="484"/>
      <c r="AM22" s="484"/>
      <c r="AN22" s="484"/>
      <c r="AO22" s="484"/>
      <c r="AP22" s="485"/>
      <c r="AQ22" s="484"/>
      <c r="AR22" s="484"/>
      <c r="AS22" s="484"/>
      <c r="AT22" s="484"/>
      <c r="AU22" s="484"/>
      <c r="AV22" s="485"/>
      <c r="AW22" s="484"/>
      <c r="AX22" s="484"/>
      <c r="AY22" s="484"/>
      <c r="AZ22" s="484"/>
      <c r="BA22" s="484"/>
      <c r="BB22" s="485"/>
      <c r="BC22" s="484"/>
      <c r="BD22" s="484"/>
      <c r="BE22" s="484"/>
      <c r="BF22" s="484"/>
      <c r="BG22" s="484"/>
      <c r="BH22" s="485"/>
      <c r="BI22" s="484"/>
      <c r="BJ22" s="484"/>
      <c r="BK22" s="484"/>
      <c r="BL22" s="484"/>
      <c r="BM22" s="484"/>
      <c r="BN22" s="485"/>
      <c r="BO22" s="493"/>
      <c r="BP22" s="493"/>
      <c r="BQ22" s="493"/>
      <c r="BR22" s="493"/>
      <c r="BS22" s="493"/>
      <c r="BT22" s="494"/>
      <c r="BU22" s="505"/>
      <c r="BV22" s="484"/>
      <c r="BW22" s="484"/>
      <c r="BX22" s="484"/>
      <c r="BY22" s="484"/>
      <c r="BZ22" s="485"/>
      <c r="CA22" s="501"/>
      <c r="CB22" s="458"/>
      <c r="CC22" s="458"/>
      <c r="CD22" s="458"/>
      <c r="CE22" s="458"/>
      <c r="CF22" s="459"/>
      <c r="CG22" s="501"/>
      <c r="CH22" s="458"/>
      <c r="CI22" s="458"/>
      <c r="CJ22" s="458"/>
      <c r="CK22" s="458"/>
      <c r="CL22" s="459"/>
      <c r="CM22" s="501"/>
      <c r="CN22" s="458"/>
      <c r="CO22" s="458"/>
      <c r="CP22" s="458"/>
      <c r="CQ22" s="458"/>
      <c r="CR22" s="459"/>
      <c r="CS22" s="501"/>
      <c r="CT22" s="458"/>
      <c r="CU22" s="458"/>
      <c r="CV22" s="458"/>
      <c r="CW22" s="458"/>
      <c r="CX22" s="459"/>
      <c r="CY22" s="501"/>
      <c r="CZ22" s="458"/>
      <c r="DA22" s="458"/>
      <c r="DB22" s="458"/>
      <c r="DC22" s="458"/>
      <c r="DD22" s="459"/>
      <c r="DE22" s="501"/>
      <c r="DF22" s="458"/>
      <c r="DG22" s="458"/>
      <c r="DH22" s="458"/>
      <c r="DI22" s="458"/>
      <c r="DJ22" s="459"/>
      <c r="DK22" s="501"/>
      <c r="DL22" s="458"/>
      <c r="DM22" s="458"/>
      <c r="DN22" s="458"/>
      <c r="DO22" s="458"/>
      <c r="DP22" s="459"/>
      <c r="DQ22" s="503"/>
      <c r="DR22" s="458"/>
      <c r="DS22" s="458"/>
      <c r="DT22" s="458"/>
      <c r="DU22" s="458"/>
      <c r="DV22" s="459"/>
      <c r="DW22" s="426"/>
      <c r="DX22" s="173"/>
      <c r="DY22" s="174"/>
      <c r="DZ22" s="107"/>
      <c r="EA22" s="105"/>
      <c r="EB22" s="105"/>
      <c r="EC22" s="105"/>
      <c r="ED22" s="105"/>
      <c r="EE22" s="105"/>
      <c r="EF22" s="105"/>
      <c r="EG22" s="105"/>
      <c r="EH22" s="105"/>
      <c r="EI22" s="105"/>
      <c r="EJ22" s="105"/>
      <c r="EK22" s="105"/>
      <c r="EL22" s="105"/>
      <c r="EM22" s="105"/>
      <c r="EN22" s="105"/>
      <c r="EO22" s="105"/>
      <c r="EP22" s="105"/>
      <c r="EQ22" s="105"/>
      <c r="ER22" s="105"/>
      <c r="ES22" s="105"/>
      <c r="ET22" s="105"/>
      <c r="EU22" s="105"/>
      <c r="EV22" s="105"/>
      <c r="EW22" s="105"/>
      <c r="EX22" s="105"/>
      <c r="EY22" s="105"/>
      <c r="EZ22" s="105"/>
      <c r="FA22" s="105"/>
      <c r="FB22" s="105"/>
      <c r="FC22" s="105"/>
      <c r="FD22" s="105"/>
      <c r="FE22" s="105"/>
      <c r="FF22" s="105"/>
      <c r="FG22" s="105"/>
      <c r="FH22" s="105"/>
      <c r="FI22" s="105"/>
      <c r="FJ22" s="106"/>
    </row>
    <row r="23" spans="2:178" ht="14.4" customHeight="1" thickBot="1" x14ac:dyDescent="0.7">
      <c r="B23" s="383"/>
      <c r="C23" s="384"/>
      <c r="D23" s="384"/>
      <c r="E23" s="384"/>
      <c r="F23" s="384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90"/>
      <c r="AB23" s="512" t="str">
        <f t="shared" ref="AB23:AB56" si="0">MID(AK23,1,1)</f>
        <v>I</v>
      </c>
      <c r="AC23" s="512" t="str" cm="1">
        <f t="array" ref="AC23">IFERROR(_xlfn.IFS(AQ23="Mini Breaker","MB",AQ23="GoPact","GP",AQ23="EZC 100","EZ1",AQ23="EZC 250","EZ2",AQ23="CVS/NSX 250","CV2",AQ23="CVS/NSX/EZC 630","CV6",AQ23="NS 1600","NS1",AQ23="NW/MTZ 4000","NW4",AQ23="Conmutador PEQ.","CP",AQ23="Conmutador MED.","CM",AQ23="Conmutador GRA.","CG",AQ23="Contactores","CK"),"")</f>
        <v>EZ1</v>
      </c>
      <c r="AD23" s="513" t="str" cm="1">
        <f t="array" ref="AD23">IFERROR(_xlfn.IFS(AW23="Horizontal","H",AW23="Horizontal COMPUESTA","HC",AW23="Vertical","V",AW23="Vertical Compacta","VC",AW23="Vertical Extendida","VE"),"")</f>
        <v>H</v>
      </c>
      <c r="AE23" s="472" t="str">
        <f>IF(AH21&lt;&gt;"","+C","")</f>
        <v>+C</v>
      </c>
      <c r="AF23" s="473"/>
      <c r="AG23" s="473"/>
      <c r="AH23" s="474" t="s">
        <v>747</v>
      </c>
      <c r="AI23" s="474"/>
      <c r="AJ23" s="475"/>
      <c r="AK23" s="413" t="s">
        <v>888</v>
      </c>
      <c r="AL23" s="413"/>
      <c r="AM23" s="413"/>
      <c r="AN23" s="413"/>
      <c r="AO23" s="413"/>
      <c r="AP23" s="490"/>
      <c r="AQ23" s="486" t="s">
        <v>709</v>
      </c>
      <c r="AR23" s="486"/>
      <c r="AS23" s="486"/>
      <c r="AT23" s="486"/>
      <c r="AU23" s="486"/>
      <c r="AV23" s="487"/>
      <c r="AW23" s="486" t="s">
        <v>84</v>
      </c>
      <c r="AX23" s="486"/>
      <c r="AY23" s="486"/>
      <c r="AZ23" s="486"/>
      <c r="BA23" s="486"/>
      <c r="BB23" s="487"/>
      <c r="BC23" s="486" t="s">
        <v>601</v>
      </c>
      <c r="BD23" s="486"/>
      <c r="BE23" s="486"/>
      <c r="BF23" s="486"/>
      <c r="BG23" s="486"/>
      <c r="BH23" s="487"/>
      <c r="BI23" s="486" t="s">
        <v>710</v>
      </c>
      <c r="BJ23" s="486"/>
      <c r="BK23" s="486"/>
      <c r="BL23" s="486"/>
      <c r="BM23" s="486"/>
      <c r="BN23" s="487"/>
      <c r="BO23" s="495" t="s">
        <v>620</v>
      </c>
      <c r="BP23" s="495"/>
      <c r="BQ23" s="495"/>
      <c r="BR23" s="495"/>
      <c r="BS23" s="495"/>
      <c r="BT23" s="496"/>
      <c r="BU23" s="506" t="s">
        <v>564</v>
      </c>
      <c r="BV23" s="486"/>
      <c r="BW23" s="486"/>
      <c r="BX23" s="486"/>
      <c r="BY23" s="486"/>
      <c r="BZ23" s="487"/>
      <c r="CA23" s="507" t="s">
        <v>564</v>
      </c>
      <c r="CB23" s="460"/>
      <c r="CC23" s="460"/>
      <c r="CD23" s="460"/>
      <c r="CE23" s="460"/>
      <c r="CF23" s="461"/>
      <c r="CG23" s="507" t="s">
        <v>564</v>
      </c>
      <c r="CH23" s="460"/>
      <c r="CI23" s="460"/>
      <c r="CJ23" s="460"/>
      <c r="CK23" s="460"/>
      <c r="CL23" s="461"/>
      <c r="CM23" s="507" t="s">
        <v>564</v>
      </c>
      <c r="CN23" s="460"/>
      <c r="CO23" s="460"/>
      <c r="CP23" s="460"/>
      <c r="CQ23" s="460"/>
      <c r="CR23" s="461"/>
      <c r="CS23" s="507" t="str">
        <f>IFERROR(VLOOKUP(AD24,BD!AD8:AX51,19,FALSE),"")</f>
        <v>021075</v>
      </c>
      <c r="CT23" s="460"/>
      <c r="CU23" s="460"/>
      <c r="CV23" s="460"/>
      <c r="CW23" s="460"/>
      <c r="CX23" s="461"/>
      <c r="CY23" s="507" t="str">
        <f>IFERROR(VLOOKUP(AD24,BD!AD8:AX51,20,FALSE),"")</f>
        <v>024010</v>
      </c>
      <c r="CZ23" s="460"/>
      <c r="DA23" s="460"/>
      <c r="DB23" s="460"/>
      <c r="DC23" s="460"/>
      <c r="DD23" s="461"/>
      <c r="DE23" s="507" t="s">
        <v>564</v>
      </c>
      <c r="DF23" s="460"/>
      <c r="DG23" s="460"/>
      <c r="DH23" s="460"/>
      <c r="DI23" s="460"/>
      <c r="DJ23" s="461"/>
      <c r="DK23" s="507" t="s">
        <v>564</v>
      </c>
      <c r="DL23" s="460"/>
      <c r="DM23" s="460"/>
      <c r="DN23" s="460"/>
      <c r="DO23" s="460"/>
      <c r="DP23" s="461"/>
      <c r="DQ23" s="508" t="b">
        <v>0</v>
      </c>
      <c r="DR23" s="460" t="str">
        <f t="shared" ref="DR23" si="1">IF(DQ23=TRUE,"######","")</f>
        <v/>
      </c>
      <c r="DS23" s="460"/>
      <c r="DT23" s="460"/>
      <c r="DU23" s="460"/>
      <c r="DV23" s="461"/>
      <c r="DW23" s="426" t="str">
        <f>IFERROR(MID(CA23,1,1),"")</f>
        <v>-</v>
      </c>
      <c r="DX23" s="173" t="str">
        <f>IFERROR(MID(CG23,1,1),"")</f>
        <v>-</v>
      </c>
      <c r="DY23" s="174" t="str">
        <f>IFERROR(IF(AND(AB23="CV6",AC23="H",DW23="F",DX23="P"),"SiPM",""),"")</f>
        <v/>
      </c>
      <c r="DZ23" s="107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  <c r="EU23" s="105"/>
      <c r="EV23" s="105"/>
      <c r="EW23" s="105"/>
      <c r="EX23" s="105"/>
      <c r="EY23" s="105"/>
      <c r="EZ23" s="105"/>
      <c r="FA23" s="105"/>
      <c r="FB23" s="105"/>
      <c r="FC23" s="105"/>
      <c r="FD23" s="105"/>
      <c r="FE23" s="105"/>
      <c r="FF23" s="105"/>
      <c r="FG23" s="105"/>
      <c r="FH23" s="105"/>
      <c r="FI23" s="105"/>
      <c r="FJ23" s="106"/>
    </row>
    <row r="24" spans="2:178" ht="14.4" customHeight="1" thickTop="1" x14ac:dyDescent="0.65">
      <c r="B24" s="379"/>
      <c r="C24" s="380"/>
      <c r="D24" s="380"/>
      <c r="E24" s="380"/>
      <c r="F24" s="380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6"/>
      <c r="AB24" s="512" t="str">
        <f t="shared" ref="AB24:AB56" si="2">MID(BC23,1,1)</f>
        <v>F</v>
      </c>
      <c r="AC24" s="512" t="str">
        <f t="shared" ref="AC24:AC56" si="3">IFERROR(MID(BI23,1,1),"")</f>
        <v>P</v>
      </c>
      <c r="AD24" s="513" t="str">
        <f t="shared" ref="AD24" si="4">AB23&amp;AC23&amp;AD23&amp;AB24&amp;AC24&amp;$AI$12&amp;BU23</f>
        <v>IEZ1HFPW3-</v>
      </c>
      <c r="AE24" s="476"/>
      <c r="AF24" s="477"/>
      <c r="AG24" s="477"/>
      <c r="AH24" s="478"/>
      <c r="AI24" s="478"/>
      <c r="AJ24" s="479"/>
      <c r="AK24" s="488"/>
      <c r="AL24" s="488"/>
      <c r="AM24" s="488"/>
      <c r="AN24" s="488"/>
      <c r="AO24" s="488"/>
      <c r="AP24" s="489"/>
      <c r="AQ24" s="488"/>
      <c r="AR24" s="488"/>
      <c r="AS24" s="488"/>
      <c r="AT24" s="488"/>
      <c r="AU24" s="488"/>
      <c r="AV24" s="489"/>
      <c r="AW24" s="488"/>
      <c r="AX24" s="488"/>
      <c r="AY24" s="488"/>
      <c r="AZ24" s="488"/>
      <c r="BA24" s="488"/>
      <c r="BB24" s="489"/>
      <c r="BC24" s="488"/>
      <c r="BD24" s="488"/>
      <c r="BE24" s="488"/>
      <c r="BF24" s="488"/>
      <c r="BG24" s="488"/>
      <c r="BH24" s="489"/>
      <c r="BI24" s="488"/>
      <c r="BJ24" s="488"/>
      <c r="BK24" s="488"/>
      <c r="BL24" s="488"/>
      <c r="BM24" s="488"/>
      <c r="BN24" s="489"/>
      <c r="BO24" s="497"/>
      <c r="BP24" s="497"/>
      <c r="BQ24" s="497"/>
      <c r="BR24" s="497"/>
      <c r="BS24" s="497"/>
      <c r="BT24" s="498"/>
      <c r="BU24" s="509"/>
      <c r="BV24" s="488"/>
      <c r="BW24" s="488"/>
      <c r="BX24" s="488"/>
      <c r="BY24" s="488"/>
      <c r="BZ24" s="489"/>
      <c r="CA24" s="510"/>
      <c r="CB24" s="462"/>
      <c r="CC24" s="462"/>
      <c r="CD24" s="462"/>
      <c r="CE24" s="462"/>
      <c r="CF24" s="463"/>
      <c r="CG24" s="510"/>
      <c r="CH24" s="462"/>
      <c r="CI24" s="462"/>
      <c r="CJ24" s="462"/>
      <c r="CK24" s="462"/>
      <c r="CL24" s="463"/>
      <c r="CM24" s="510"/>
      <c r="CN24" s="462"/>
      <c r="CO24" s="462"/>
      <c r="CP24" s="462"/>
      <c r="CQ24" s="462"/>
      <c r="CR24" s="463"/>
      <c r="CS24" s="510"/>
      <c r="CT24" s="462"/>
      <c r="CU24" s="462"/>
      <c r="CV24" s="462"/>
      <c r="CW24" s="462"/>
      <c r="CX24" s="463"/>
      <c r="CY24" s="510"/>
      <c r="CZ24" s="462"/>
      <c r="DA24" s="462"/>
      <c r="DB24" s="462"/>
      <c r="DC24" s="462"/>
      <c r="DD24" s="463"/>
      <c r="DE24" s="510"/>
      <c r="DF24" s="462"/>
      <c r="DG24" s="462"/>
      <c r="DH24" s="462"/>
      <c r="DI24" s="462"/>
      <c r="DJ24" s="463"/>
      <c r="DK24" s="510"/>
      <c r="DL24" s="462"/>
      <c r="DM24" s="462"/>
      <c r="DN24" s="462"/>
      <c r="DO24" s="462"/>
      <c r="DP24" s="463"/>
      <c r="DQ24" s="511"/>
      <c r="DR24" s="462"/>
      <c r="DS24" s="462"/>
      <c r="DT24" s="462"/>
      <c r="DU24" s="462"/>
      <c r="DV24" s="463"/>
      <c r="DW24" s="426"/>
      <c r="DX24" s="173"/>
      <c r="DY24" s="174"/>
      <c r="DZ24" s="107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  <c r="EU24" s="105"/>
      <c r="EV24" s="105"/>
      <c r="EW24" s="105"/>
      <c r="EX24" s="105"/>
      <c r="EY24" s="105"/>
      <c r="EZ24" s="105"/>
      <c r="FA24" s="105"/>
      <c r="FB24" s="105"/>
      <c r="FC24" s="105"/>
      <c r="FD24" s="105"/>
      <c r="FE24" s="105"/>
      <c r="FF24" s="105"/>
      <c r="FG24" s="105"/>
      <c r="FH24" s="105"/>
      <c r="FI24" s="105"/>
      <c r="FJ24" s="106"/>
    </row>
    <row r="25" spans="2:178" ht="14.4" customHeight="1" x14ac:dyDescent="0.65">
      <c r="B25" s="381"/>
      <c r="C25" s="382"/>
      <c r="D25" s="382"/>
      <c r="E25" s="382"/>
      <c r="F25" s="382"/>
      <c r="G25" s="387"/>
      <c r="H25" s="387"/>
      <c r="I25" s="387"/>
      <c r="J25" s="387"/>
      <c r="K25" s="387"/>
      <c r="L25" s="387"/>
      <c r="M25" s="387"/>
      <c r="N25" s="387"/>
      <c r="O25" s="387"/>
      <c r="P25" s="387"/>
      <c r="Q25" s="387"/>
      <c r="R25" s="387"/>
      <c r="S25" s="387"/>
      <c r="T25" s="387"/>
      <c r="U25" s="387"/>
      <c r="V25" s="387"/>
      <c r="W25" s="387"/>
      <c r="X25" s="387"/>
      <c r="Y25" s="387"/>
      <c r="Z25" s="387"/>
      <c r="AA25" s="388"/>
      <c r="AB25" s="512" t="str">
        <f t="shared" ref="AB25:AB56" si="5">MID(AK25,1,1)</f>
        <v/>
      </c>
      <c r="AC25" s="512" t="str" cm="1">
        <f t="array" ref="AC25">IFERROR(_xlfn.IFS(AQ25="Mini Breaker","MB",AQ25="GoPact","GP",AQ25="EZC 100","EZ1",AQ25="EZC 250","EZ2",AQ25="CVS/NSX 250","CV2",AQ25="CVS/NSX/EZC 630","CV6",AQ25="NS 1600","NS1",AQ25="NW/MTZ 4000","NW4",AQ25="Conmutador PEQ.","CP",AQ25="Conmutador MED.","CM",AQ25="Conmutador GRA.","CG",AQ25="Contactores","CK"),"")</f>
        <v/>
      </c>
      <c r="AD25" s="513" t="str" cm="1">
        <f t="array" ref="AD25">IFERROR(_xlfn.IFS(AW25="Horizontal","H",AW25="Horizontal COMPUESTA","HC",AW25="Vertical","V",AW25="Vertical Compacta","VC",AW25="Vertical Extendida","VE"),"")</f>
        <v/>
      </c>
      <c r="AE25" s="464" t="str">
        <f t="shared" ref="AE25" si="6">IF(AH23&lt;&gt;"","+C","")</f>
        <v>+C</v>
      </c>
      <c r="AF25" s="465"/>
      <c r="AG25" s="465"/>
      <c r="AH25" s="466"/>
      <c r="AI25" s="466"/>
      <c r="AJ25" s="467"/>
      <c r="AK25" s="480"/>
      <c r="AL25" s="480"/>
      <c r="AM25" s="480"/>
      <c r="AN25" s="480"/>
      <c r="AO25" s="480"/>
      <c r="AP25" s="481"/>
      <c r="AQ25" s="482"/>
      <c r="AR25" s="482"/>
      <c r="AS25" s="482"/>
      <c r="AT25" s="482"/>
      <c r="AU25" s="482"/>
      <c r="AV25" s="483"/>
      <c r="AW25" s="482"/>
      <c r="AX25" s="482"/>
      <c r="AY25" s="482"/>
      <c r="AZ25" s="482"/>
      <c r="BA25" s="482"/>
      <c r="BB25" s="483"/>
      <c r="BC25" s="482"/>
      <c r="BD25" s="482"/>
      <c r="BE25" s="482"/>
      <c r="BF25" s="482"/>
      <c r="BG25" s="482"/>
      <c r="BH25" s="483"/>
      <c r="BI25" s="482"/>
      <c r="BJ25" s="482"/>
      <c r="BK25" s="482"/>
      <c r="BL25" s="482"/>
      <c r="BM25" s="482"/>
      <c r="BN25" s="483"/>
      <c r="BO25" s="491"/>
      <c r="BP25" s="491"/>
      <c r="BQ25" s="491"/>
      <c r="BR25" s="491"/>
      <c r="BS25" s="491"/>
      <c r="BT25" s="492"/>
      <c r="BU25" s="504" t="s">
        <v>564</v>
      </c>
      <c r="BV25" s="482"/>
      <c r="BW25" s="482"/>
      <c r="BX25" s="482"/>
      <c r="BY25" s="482"/>
      <c r="BZ25" s="483"/>
      <c r="CA25" s="500" t="s">
        <v>564</v>
      </c>
      <c r="CB25" s="456"/>
      <c r="CC25" s="456"/>
      <c r="CD25" s="456"/>
      <c r="CE25" s="456"/>
      <c r="CF25" s="457"/>
      <c r="CG25" s="500" t="s">
        <v>564</v>
      </c>
      <c r="CH25" s="456"/>
      <c r="CI25" s="456"/>
      <c r="CJ25" s="456"/>
      <c r="CK25" s="456"/>
      <c r="CL25" s="457"/>
      <c r="CM25" s="500" t="s">
        <v>564</v>
      </c>
      <c r="CN25" s="456"/>
      <c r="CO25" s="456"/>
      <c r="CP25" s="456"/>
      <c r="CQ25" s="456"/>
      <c r="CR25" s="457"/>
      <c r="CS25" s="500" t="str">
        <f>IFERROR(VLOOKUP(AD26,BD!AD10:AX53,19,FALSE),"")</f>
        <v/>
      </c>
      <c r="CT25" s="456"/>
      <c r="CU25" s="456"/>
      <c r="CV25" s="456"/>
      <c r="CW25" s="456"/>
      <c r="CX25" s="457"/>
      <c r="CY25" s="500" t="str">
        <f>IFERROR(VLOOKUP(AD26,BD!AD10:AX53,20,FALSE),"")</f>
        <v/>
      </c>
      <c r="CZ25" s="456"/>
      <c r="DA25" s="456"/>
      <c r="DB25" s="456"/>
      <c r="DC25" s="456"/>
      <c r="DD25" s="457"/>
      <c r="DE25" s="500" t="s">
        <v>564</v>
      </c>
      <c r="DF25" s="456"/>
      <c r="DG25" s="456"/>
      <c r="DH25" s="456"/>
      <c r="DI25" s="456"/>
      <c r="DJ25" s="457"/>
      <c r="DK25" s="500" t="s">
        <v>564</v>
      </c>
      <c r="DL25" s="456"/>
      <c r="DM25" s="456"/>
      <c r="DN25" s="456"/>
      <c r="DO25" s="456"/>
      <c r="DP25" s="457"/>
      <c r="DQ25" s="502" t="b">
        <v>0</v>
      </c>
      <c r="DR25" s="456" t="str">
        <f t="shared" ref="DR25" si="7">IF(DQ25=TRUE,"######","")</f>
        <v/>
      </c>
      <c r="DS25" s="456"/>
      <c r="DT25" s="456"/>
      <c r="DU25" s="456"/>
      <c r="DV25" s="457"/>
      <c r="DW25" s="426" t="str">
        <f>IFERROR(MID(#REF!,1,1),"")</f>
        <v/>
      </c>
      <c r="DX25" s="173" t="str">
        <f>IFERROR(MID(#REF!,1,1),"")</f>
        <v/>
      </c>
      <c r="DY25" s="174" t="str">
        <f t="shared" ref="DY25" si="8">IFERROR(IF(AND(AB25="CV6",AC25="H",DW25="F",DX25="P"),"SiPM",""),"")</f>
        <v/>
      </c>
      <c r="DZ25" s="107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5"/>
      <c r="FB25" s="105"/>
      <c r="FC25" s="105"/>
      <c r="FD25" s="105"/>
      <c r="FE25" s="105"/>
      <c r="FF25" s="105"/>
      <c r="FG25" s="105"/>
      <c r="FH25" s="105"/>
      <c r="FI25" s="105"/>
      <c r="FJ25" s="106"/>
    </row>
    <row r="26" spans="2:178" ht="14.4" customHeight="1" thickBot="1" x14ac:dyDescent="0.7">
      <c r="B26" s="383"/>
      <c r="C26" s="384"/>
      <c r="D26" s="384"/>
      <c r="E26" s="384"/>
      <c r="F26" s="384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90"/>
      <c r="AB26" s="512" t="str">
        <f t="shared" ref="AB26:AB56" si="9">MID(BC25,1,1)</f>
        <v/>
      </c>
      <c r="AC26" s="512" t="str">
        <f t="shared" ref="AC26:AC56" si="10">IFERROR(MID(BI25,1,1),"")</f>
        <v/>
      </c>
      <c r="AD26" s="513" t="str">
        <f t="shared" ref="AD26" si="11">AB25&amp;AC25&amp;AD25&amp;AB26&amp;AC26&amp;$AI$12&amp;BU25</f>
        <v>W3-</v>
      </c>
      <c r="AE26" s="468"/>
      <c r="AF26" s="469"/>
      <c r="AG26" s="469"/>
      <c r="AH26" s="470"/>
      <c r="AI26" s="470"/>
      <c r="AJ26" s="471"/>
      <c r="AK26" s="484"/>
      <c r="AL26" s="484"/>
      <c r="AM26" s="484"/>
      <c r="AN26" s="484"/>
      <c r="AO26" s="484"/>
      <c r="AP26" s="485"/>
      <c r="AQ26" s="484"/>
      <c r="AR26" s="484"/>
      <c r="AS26" s="484"/>
      <c r="AT26" s="484"/>
      <c r="AU26" s="484"/>
      <c r="AV26" s="485"/>
      <c r="AW26" s="484"/>
      <c r="AX26" s="484"/>
      <c r="AY26" s="484"/>
      <c r="AZ26" s="484"/>
      <c r="BA26" s="484"/>
      <c r="BB26" s="485"/>
      <c r="BC26" s="484"/>
      <c r="BD26" s="484"/>
      <c r="BE26" s="484"/>
      <c r="BF26" s="484"/>
      <c r="BG26" s="484"/>
      <c r="BH26" s="485"/>
      <c r="BI26" s="484"/>
      <c r="BJ26" s="484"/>
      <c r="BK26" s="484"/>
      <c r="BL26" s="484"/>
      <c r="BM26" s="484"/>
      <c r="BN26" s="485"/>
      <c r="BO26" s="493"/>
      <c r="BP26" s="493"/>
      <c r="BQ26" s="493"/>
      <c r="BR26" s="493"/>
      <c r="BS26" s="493"/>
      <c r="BT26" s="494"/>
      <c r="BU26" s="505"/>
      <c r="BV26" s="484"/>
      <c r="BW26" s="484"/>
      <c r="BX26" s="484"/>
      <c r="BY26" s="484"/>
      <c r="BZ26" s="485"/>
      <c r="CA26" s="501"/>
      <c r="CB26" s="458"/>
      <c r="CC26" s="458"/>
      <c r="CD26" s="458"/>
      <c r="CE26" s="458"/>
      <c r="CF26" s="459"/>
      <c r="CG26" s="501"/>
      <c r="CH26" s="458"/>
      <c r="CI26" s="458"/>
      <c r="CJ26" s="458"/>
      <c r="CK26" s="458"/>
      <c r="CL26" s="459"/>
      <c r="CM26" s="501"/>
      <c r="CN26" s="458"/>
      <c r="CO26" s="458"/>
      <c r="CP26" s="458"/>
      <c r="CQ26" s="458"/>
      <c r="CR26" s="459"/>
      <c r="CS26" s="501"/>
      <c r="CT26" s="458"/>
      <c r="CU26" s="458"/>
      <c r="CV26" s="458"/>
      <c r="CW26" s="458"/>
      <c r="CX26" s="459"/>
      <c r="CY26" s="501"/>
      <c r="CZ26" s="458"/>
      <c r="DA26" s="458"/>
      <c r="DB26" s="458"/>
      <c r="DC26" s="458"/>
      <c r="DD26" s="459"/>
      <c r="DE26" s="501"/>
      <c r="DF26" s="458"/>
      <c r="DG26" s="458"/>
      <c r="DH26" s="458"/>
      <c r="DI26" s="458"/>
      <c r="DJ26" s="459"/>
      <c r="DK26" s="501"/>
      <c r="DL26" s="458"/>
      <c r="DM26" s="458"/>
      <c r="DN26" s="458"/>
      <c r="DO26" s="458"/>
      <c r="DP26" s="459"/>
      <c r="DQ26" s="503"/>
      <c r="DR26" s="458"/>
      <c r="DS26" s="458"/>
      <c r="DT26" s="458"/>
      <c r="DU26" s="458"/>
      <c r="DV26" s="459"/>
      <c r="DW26" s="426"/>
      <c r="DX26" s="173"/>
      <c r="DY26" s="174"/>
      <c r="DZ26" s="107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5"/>
      <c r="FI26" s="105"/>
      <c r="FJ26" s="106"/>
    </row>
    <row r="27" spans="2:178" ht="14.4" customHeight="1" thickTop="1" x14ac:dyDescent="0.65">
      <c r="B27" s="379"/>
      <c r="C27" s="380"/>
      <c r="D27" s="380"/>
      <c r="E27" s="380"/>
      <c r="F27" s="380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6"/>
      <c r="AB27" s="512" t="str">
        <f t="shared" ref="AB27:AB56" si="12">MID(AK27,1,1)</f>
        <v/>
      </c>
      <c r="AC27" s="512" t="str" cm="1">
        <f t="array" ref="AC27">IFERROR(_xlfn.IFS(AQ27="Mini Breaker","MB",AQ27="GoPact","GP",AQ27="EZC 100","EZ1",AQ27="EZC 250","EZ2",AQ27="CVS/NSX 250","CV2",AQ27="CVS/NSX/EZC 630","CV6",AQ27="NS 1600","NS1",AQ27="NW/MTZ 4000","NW4",AQ27="Conmutador PEQ.","CP",AQ27="Conmutador MED.","CM",AQ27="Conmutador GRA.","CG",AQ27="Contactores","CK"),"")</f>
        <v/>
      </c>
      <c r="AD27" s="513" t="str" cm="1">
        <f t="array" ref="AD27">IFERROR(_xlfn.IFS(AW27="Horizontal","H",AW27="Horizontal COMPUESTA","HC",AW27="Vertical","V",AW27="Vertical Compacta","VC",AW27="Vertical Extendida","VE"),"")</f>
        <v/>
      </c>
      <c r="AE27" s="472" t="str">
        <f t="shared" ref="AE27" si="13">IF(AH25&lt;&gt;"","+C","")</f>
        <v/>
      </c>
      <c r="AF27" s="473"/>
      <c r="AG27" s="473"/>
      <c r="AH27" s="474"/>
      <c r="AI27" s="474"/>
      <c r="AJ27" s="475"/>
      <c r="AK27" s="413"/>
      <c r="AL27" s="413"/>
      <c r="AM27" s="413"/>
      <c r="AN27" s="413"/>
      <c r="AO27" s="413"/>
      <c r="AP27" s="490"/>
      <c r="AQ27" s="486"/>
      <c r="AR27" s="486"/>
      <c r="AS27" s="486"/>
      <c r="AT27" s="486"/>
      <c r="AU27" s="486"/>
      <c r="AV27" s="487"/>
      <c r="AW27" s="486"/>
      <c r="AX27" s="486"/>
      <c r="AY27" s="486"/>
      <c r="AZ27" s="486"/>
      <c r="BA27" s="486"/>
      <c r="BB27" s="487"/>
      <c r="BC27" s="486"/>
      <c r="BD27" s="486"/>
      <c r="BE27" s="486"/>
      <c r="BF27" s="486"/>
      <c r="BG27" s="486"/>
      <c r="BH27" s="487"/>
      <c r="BI27" s="486"/>
      <c r="BJ27" s="486"/>
      <c r="BK27" s="486"/>
      <c r="BL27" s="486"/>
      <c r="BM27" s="486"/>
      <c r="BN27" s="487"/>
      <c r="BO27" s="495"/>
      <c r="BP27" s="495"/>
      <c r="BQ27" s="495"/>
      <c r="BR27" s="495"/>
      <c r="BS27" s="495"/>
      <c r="BT27" s="496"/>
      <c r="BU27" s="506" t="s">
        <v>564</v>
      </c>
      <c r="BV27" s="486"/>
      <c r="BW27" s="486"/>
      <c r="BX27" s="486"/>
      <c r="BY27" s="486"/>
      <c r="BZ27" s="487"/>
      <c r="CA27" s="507" t="s">
        <v>564</v>
      </c>
      <c r="CB27" s="460"/>
      <c r="CC27" s="460"/>
      <c r="CD27" s="460"/>
      <c r="CE27" s="460"/>
      <c r="CF27" s="461"/>
      <c r="CG27" s="507" t="s">
        <v>564</v>
      </c>
      <c r="CH27" s="460"/>
      <c r="CI27" s="460"/>
      <c r="CJ27" s="460"/>
      <c r="CK27" s="460"/>
      <c r="CL27" s="461"/>
      <c r="CM27" s="507" t="s">
        <v>564</v>
      </c>
      <c r="CN27" s="460"/>
      <c r="CO27" s="460"/>
      <c r="CP27" s="460"/>
      <c r="CQ27" s="460"/>
      <c r="CR27" s="461"/>
      <c r="CS27" s="507" t="str">
        <f>IFERROR(VLOOKUP(AD28,BD!AD12:AX55,19,FALSE),"")</f>
        <v/>
      </c>
      <c r="CT27" s="460"/>
      <c r="CU27" s="460"/>
      <c r="CV27" s="460"/>
      <c r="CW27" s="460"/>
      <c r="CX27" s="461"/>
      <c r="CY27" s="507" t="str">
        <f>IFERROR(VLOOKUP(AD28,BD!AD12:AX55,20,FALSE),"")</f>
        <v/>
      </c>
      <c r="CZ27" s="460"/>
      <c r="DA27" s="460"/>
      <c r="DB27" s="460"/>
      <c r="DC27" s="460"/>
      <c r="DD27" s="461"/>
      <c r="DE27" s="507" t="s">
        <v>564</v>
      </c>
      <c r="DF27" s="460"/>
      <c r="DG27" s="460"/>
      <c r="DH27" s="460"/>
      <c r="DI27" s="460"/>
      <c r="DJ27" s="461"/>
      <c r="DK27" s="507" t="s">
        <v>564</v>
      </c>
      <c r="DL27" s="460"/>
      <c r="DM27" s="460"/>
      <c r="DN27" s="460"/>
      <c r="DO27" s="460"/>
      <c r="DP27" s="461"/>
      <c r="DQ27" s="508" t="b">
        <v>0</v>
      </c>
      <c r="DR27" s="460" t="str">
        <f t="shared" ref="DR27" si="14">IF(DQ27=TRUE,"######","")</f>
        <v/>
      </c>
      <c r="DS27" s="460"/>
      <c r="DT27" s="460"/>
      <c r="DU27" s="460"/>
      <c r="DV27" s="461"/>
      <c r="DW27" s="426" t="str">
        <f>IFERROR(MID(#REF!,1,1),"")</f>
        <v/>
      </c>
      <c r="DX27" s="173" t="str">
        <f t="shared" ref="DX27" si="15">IFERROR(MID(CG27,1,1),"")</f>
        <v>-</v>
      </c>
      <c r="DY27" s="174" t="str">
        <f t="shared" ref="DY27" si="16">IFERROR(IF(AND(AB27="CV6",AC27="H",DW27="F",DX27="P"),"SiPM",""),"")</f>
        <v/>
      </c>
      <c r="DZ27" s="107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105"/>
      <c r="ES27" s="105"/>
      <c r="ET27" s="105"/>
      <c r="EU27" s="105"/>
      <c r="EV27" s="105"/>
      <c r="EW27" s="105"/>
      <c r="EX27" s="105"/>
      <c r="EY27" s="105"/>
      <c r="EZ27" s="105"/>
      <c r="FA27" s="105"/>
      <c r="FB27" s="105"/>
      <c r="FC27" s="105"/>
      <c r="FD27" s="105"/>
      <c r="FE27" s="105"/>
      <c r="FF27" s="105"/>
      <c r="FG27" s="105"/>
      <c r="FH27" s="105"/>
      <c r="FI27" s="105"/>
      <c r="FJ27" s="106"/>
    </row>
    <row r="28" spans="2:178" ht="14.4" customHeight="1" x14ac:dyDescent="0.65">
      <c r="B28" s="381"/>
      <c r="C28" s="382"/>
      <c r="D28" s="382"/>
      <c r="E28" s="382"/>
      <c r="F28" s="382"/>
      <c r="G28" s="387"/>
      <c r="H28" s="387"/>
      <c r="I28" s="387"/>
      <c r="J28" s="387"/>
      <c r="K28" s="387"/>
      <c r="L28" s="387"/>
      <c r="M28" s="387"/>
      <c r="N28" s="387"/>
      <c r="O28" s="387"/>
      <c r="P28" s="387"/>
      <c r="Q28" s="387"/>
      <c r="R28" s="387"/>
      <c r="S28" s="387"/>
      <c r="T28" s="387"/>
      <c r="U28" s="387"/>
      <c r="V28" s="387"/>
      <c r="W28" s="387"/>
      <c r="X28" s="387"/>
      <c r="Y28" s="387"/>
      <c r="Z28" s="387"/>
      <c r="AA28" s="388"/>
      <c r="AB28" s="512" t="str">
        <f t="shared" ref="AB28:AB56" si="17">MID(BC27,1,1)</f>
        <v/>
      </c>
      <c r="AC28" s="512" t="str">
        <f t="shared" ref="AC28:AC56" si="18">IFERROR(MID(BI27,1,1),"")</f>
        <v/>
      </c>
      <c r="AD28" s="513" t="str">
        <f t="shared" ref="AD28" si="19">AB27&amp;AC27&amp;AD27&amp;AB28&amp;AC28&amp;$AI$12&amp;BU27</f>
        <v>W3-</v>
      </c>
      <c r="AE28" s="476"/>
      <c r="AF28" s="477"/>
      <c r="AG28" s="477"/>
      <c r="AH28" s="478"/>
      <c r="AI28" s="478"/>
      <c r="AJ28" s="479"/>
      <c r="AK28" s="488"/>
      <c r="AL28" s="488"/>
      <c r="AM28" s="488"/>
      <c r="AN28" s="488"/>
      <c r="AO28" s="488"/>
      <c r="AP28" s="489"/>
      <c r="AQ28" s="488"/>
      <c r="AR28" s="488"/>
      <c r="AS28" s="488"/>
      <c r="AT28" s="488"/>
      <c r="AU28" s="488"/>
      <c r="AV28" s="489"/>
      <c r="AW28" s="488"/>
      <c r="AX28" s="488"/>
      <c r="AY28" s="488"/>
      <c r="AZ28" s="488"/>
      <c r="BA28" s="488"/>
      <c r="BB28" s="489"/>
      <c r="BC28" s="488"/>
      <c r="BD28" s="488"/>
      <c r="BE28" s="488"/>
      <c r="BF28" s="488"/>
      <c r="BG28" s="488"/>
      <c r="BH28" s="489"/>
      <c r="BI28" s="488"/>
      <c r="BJ28" s="488"/>
      <c r="BK28" s="488"/>
      <c r="BL28" s="488"/>
      <c r="BM28" s="488"/>
      <c r="BN28" s="489"/>
      <c r="BO28" s="497"/>
      <c r="BP28" s="497"/>
      <c r="BQ28" s="497"/>
      <c r="BR28" s="497"/>
      <c r="BS28" s="497"/>
      <c r="BT28" s="498"/>
      <c r="BU28" s="509"/>
      <c r="BV28" s="488"/>
      <c r="BW28" s="488"/>
      <c r="BX28" s="488"/>
      <c r="BY28" s="488"/>
      <c r="BZ28" s="489"/>
      <c r="CA28" s="510"/>
      <c r="CB28" s="462"/>
      <c r="CC28" s="462"/>
      <c r="CD28" s="462"/>
      <c r="CE28" s="462"/>
      <c r="CF28" s="463"/>
      <c r="CG28" s="510"/>
      <c r="CH28" s="462"/>
      <c r="CI28" s="462"/>
      <c r="CJ28" s="462"/>
      <c r="CK28" s="462"/>
      <c r="CL28" s="463"/>
      <c r="CM28" s="510"/>
      <c r="CN28" s="462"/>
      <c r="CO28" s="462"/>
      <c r="CP28" s="462"/>
      <c r="CQ28" s="462"/>
      <c r="CR28" s="463"/>
      <c r="CS28" s="510"/>
      <c r="CT28" s="462"/>
      <c r="CU28" s="462"/>
      <c r="CV28" s="462"/>
      <c r="CW28" s="462"/>
      <c r="CX28" s="463"/>
      <c r="CY28" s="510"/>
      <c r="CZ28" s="462"/>
      <c r="DA28" s="462"/>
      <c r="DB28" s="462"/>
      <c r="DC28" s="462"/>
      <c r="DD28" s="463"/>
      <c r="DE28" s="510"/>
      <c r="DF28" s="462"/>
      <c r="DG28" s="462"/>
      <c r="DH28" s="462"/>
      <c r="DI28" s="462"/>
      <c r="DJ28" s="463"/>
      <c r="DK28" s="510"/>
      <c r="DL28" s="462"/>
      <c r="DM28" s="462"/>
      <c r="DN28" s="462"/>
      <c r="DO28" s="462"/>
      <c r="DP28" s="463"/>
      <c r="DQ28" s="511"/>
      <c r="DR28" s="462"/>
      <c r="DS28" s="462"/>
      <c r="DT28" s="462"/>
      <c r="DU28" s="462"/>
      <c r="DV28" s="463"/>
      <c r="DW28" s="426"/>
      <c r="DX28" s="173"/>
      <c r="DY28" s="174"/>
      <c r="DZ28" s="107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  <c r="EU28" s="105"/>
      <c r="EV28" s="105"/>
      <c r="EW28" s="105"/>
      <c r="EX28" s="105"/>
      <c r="EY28" s="105"/>
      <c r="EZ28" s="105"/>
      <c r="FA28" s="105"/>
      <c r="FB28" s="105"/>
      <c r="FC28" s="105"/>
      <c r="FD28" s="105"/>
      <c r="FE28" s="105"/>
      <c r="FF28" s="105"/>
      <c r="FG28" s="105"/>
      <c r="FH28" s="105"/>
      <c r="FI28" s="105"/>
      <c r="FJ28" s="106"/>
    </row>
    <row r="29" spans="2:178" ht="14.4" customHeight="1" thickBot="1" x14ac:dyDescent="0.7">
      <c r="B29" s="383"/>
      <c r="C29" s="384"/>
      <c r="D29" s="384"/>
      <c r="E29" s="384"/>
      <c r="F29" s="384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90"/>
      <c r="AB29" s="512" t="str">
        <f t="shared" ref="AB29:AB56" si="20">MID(AK29,1,1)</f>
        <v/>
      </c>
      <c r="AC29" s="512" t="str" cm="1">
        <f t="array" ref="AC29">IFERROR(_xlfn.IFS(AQ29="Mini Breaker","MB",AQ29="GoPact","GP",AQ29="EZC 100","EZ1",AQ29="EZC 250","EZ2",AQ29="CVS/NSX 250","CV2",AQ29="CVS/NSX/EZC 630","CV6",AQ29="NS 1600","NS1",AQ29="NW/MTZ 4000","NW4",AQ29="Conmutador PEQ.","CP",AQ29="Conmutador MED.","CM",AQ29="Conmutador GRA.","CG",AQ29="Contactores","CK"),"")</f>
        <v/>
      </c>
      <c r="AD29" s="513" t="str" cm="1">
        <f t="array" ref="AD29">IFERROR(_xlfn.IFS(AW29="Horizontal","H",AW29="Horizontal COMPUESTA","HC",AW29="Vertical","V",AW29="Vertical Compacta","VC",AW29="Vertical Extendida","VE"),"")</f>
        <v/>
      </c>
      <c r="AE29" s="464" t="str">
        <f t="shared" ref="AE29" si="21">IF(AH27&lt;&gt;"","+C","")</f>
        <v/>
      </c>
      <c r="AF29" s="465"/>
      <c r="AG29" s="465"/>
      <c r="AH29" s="466"/>
      <c r="AI29" s="466"/>
      <c r="AJ29" s="467"/>
      <c r="AK29" s="480"/>
      <c r="AL29" s="480"/>
      <c r="AM29" s="480"/>
      <c r="AN29" s="480"/>
      <c r="AO29" s="480"/>
      <c r="AP29" s="481"/>
      <c r="AQ29" s="482"/>
      <c r="AR29" s="482"/>
      <c r="AS29" s="482"/>
      <c r="AT29" s="482"/>
      <c r="AU29" s="482"/>
      <c r="AV29" s="483"/>
      <c r="AW29" s="482"/>
      <c r="AX29" s="482"/>
      <c r="AY29" s="482"/>
      <c r="AZ29" s="482"/>
      <c r="BA29" s="482"/>
      <c r="BB29" s="483"/>
      <c r="BC29" s="482"/>
      <c r="BD29" s="482"/>
      <c r="BE29" s="482"/>
      <c r="BF29" s="482"/>
      <c r="BG29" s="482"/>
      <c r="BH29" s="483"/>
      <c r="BI29" s="482"/>
      <c r="BJ29" s="482"/>
      <c r="BK29" s="482"/>
      <c r="BL29" s="482"/>
      <c r="BM29" s="482"/>
      <c r="BN29" s="483"/>
      <c r="BO29" s="491"/>
      <c r="BP29" s="491"/>
      <c r="BQ29" s="491"/>
      <c r="BR29" s="491"/>
      <c r="BS29" s="491"/>
      <c r="BT29" s="492"/>
      <c r="BU29" s="504" t="s">
        <v>564</v>
      </c>
      <c r="BV29" s="482"/>
      <c r="BW29" s="482"/>
      <c r="BX29" s="482"/>
      <c r="BY29" s="482"/>
      <c r="BZ29" s="483"/>
      <c r="CA29" s="500" t="s">
        <v>564</v>
      </c>
      <c r="CB29" s="456"/>
      <c r="CC29" s="456"/>
      <c r="CD29" s="456"/>
      <c r="CE29" s="456"/>
      <c r="CF29" s="457"/>
      <c r="CG29" s="500" t="s">
        <v>564</v>
      </c>
      <c r="CH29" s="456"/>
      <c r="CI29" s="456"/>
      <c r="CJ29" s="456"/>
      <c r="CK29" s="456"/>
      <c r="CL29" s="457"/>
      <c r="CM29" s="500" t="s">
        <v>564</v>
      </c>
      <c r="CN29" s="456"/>
      <c r="CO29" s="456"/>
      <c r="CP29" s="456"/>
      <c r="CQ29" s="456"/>
      <c r="CR29" s="457"/>
      <c r="CS29" s="500" t="str">
        <f>IFERROR(VLOOKUP(AD30,BD!AD14:AX57,19,FALSE),"")</f>
        <v/>
      </c>
      <c r="CT29" s="456"/>
      <c r="CU29" s="456"/>
      <c r="CV29" s="456"/>
      <c r="CW29" s="456"/>
      <c r="CX29" s="457"/>
      <c r="CY29" s="500" t="str">
        <f>IFERROR(VLOOKUP(AD30,BD!AD14:AX57,20,FALSE),"")</f>
        <v/>
      </c>
      <c r="CZ29" s="456"/>
      <c r="DA29" s="456"/>
      <c r="DB29" s="456"/>
      <c r="DC29" s="456"/>
      <c r="DD29" s="457"/>
      <c r="DE29" s="500" t="s">
        <v>564</v>
      </c>
      <c r="DF29" s="456"/>
      <c r="DG29" s="456"/>
      <c r="DH29" s="456"/>
      <c r="DI29" s="456"/>
      <c r="DJ29" s="457"/>
      <c r="DK29" s="500" t="s">
        <v>564</v>
      </c>
      <c r="DL29" s="456"/>
      <c r="DM29" s="456"/>
      <c r="DN29" s="456"/>
      <c r="DO29" s="456"/>
      <c r="DP29" s="457"/>
      <c r="DQ29" s="502" t="b">
        <v>0</v>
      </c>
      <c r="DR29" s="456" t="str">
        <f t="shared" ref="DR29" si="22">IF(DQ29=TRUE,"######","")</f>
        <v/>
      </c>
      <c r="DS29" s="456"/>
      <c r="DT29" s="456"/>
      <c r="DU29" s="456"/>
      <c r="DV29" s="457"/>
      <c r="DW29" s="426" t="str">
        <f>IFERROR(MID(#REF!,1,1),"")</f>
        <v/>
      </c>
      <c r="DX29" s="173" t="str">
        <f>IFERROR(MID(#REF!,1,1),"")</f>
        <v/>
      </c>
      <c r="DY29" s="174" t="str">
        <f t="shared" ref="DY29" si="23">IFERROR(IF(AND(AB29="CV6",AC29="H",DW29="F",DX29="P"),"SiPM",""),"")</f>
        <v/>
      </c>
      <c r="DZ29" s="107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/>
      <c r="EX29" s="105"/>
      <c r="EY29" s="105"/>
      <c r="EZ29" s="105"/>
      <c r="FA29" s="105"/>
      <c r="FB29" s="105"/>
      <c r="FC29" s="105"/>
      <c r="FD29" s="105"/>
      <c r="FE29" s="105"/>
      <c r="FF29" s="105"/>
      <c r="FG29" s="105"/>
      <c r="FH29" s="105"/>
      <c r="FI29" s="105"/>
      <c r="FJ29" s="106"/>
    </row>
    <row r="30" spans="2:178" ht="14.4" customHeight="1" thickTop="1" x14ac:dyDescent="0.65">
      <c r="B30" s="379"/>
      <c r="C30" s="380"/>
      <c r="D30" s="380"/>
      <c r="E30" s="380"/>
      <c r="F30" s="380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6"/>
      <c r="AB30" s="512" t="str">
        <f t="shared" ref="AB30:AB56" si="24">MID(BC29,1,1)</f>
        <v/>
      </c>
      <c r="AC30" s="512" t="str">
        <f t="shared" ref="AC30:AC56" si="25">IFERROR(MID(BI29,1,1),"")</f>
        <v/>
      </c>
      <c r="AD30" s="513" t="str">
        <f t="shared" ref="AD30" si="26">AB29&amp;AC29&amp;AD29&amp;AB30&amp;AC30&amp;$AI$12&amp;BU29</f>
        <v>W3-</v>
      </c>
      <c r="AE30" s="468"/>
      <c r="AF30" s="469"/>
      <c r="AG30" s="469"/>
      <c r="AH30" s="470"/>
      <c r="AI30" s="470"/>
      <c r="AJ30" s="471"/>
      <c r="AK30" s="484"/>
      <c r="AL30" s="484"/>
      <c r="AM30" s="484"/>
      <c r="AN30" s="484"/>
      <c r="AO30" s="484"/>
      <c r="AP30" s="485"/>
      <c r="AQ30" s="484"/>
      <c r="AR30" s="484"/>
      <c r="AS30" s="484"/>
      <c r="AT30" s="484"/>
      <c r="AU30" s="484"/>
      <c r="AV30" s="485"/>
      <c r="AW30" s="484"/>
      <c r="AX30" s="484"/>
      <c r="AY30" s="484"/>
      <c r="AZ30" s="484"/>
      <c r="BA30" s="484"/>
      <c r="BB30" s="485"/>
      <c r="BC30" s="484"/>
      <c r="BD30" s="484"/>
      <c r="BE30" s="484"/>
      <c r="BF30" s="484"/>
      <c r="BG30" s="484"/>
      <c r="BH30" s="485"/>
      <c r="BI30" s="484"/>
      <c r="BJ30" s="484"/>
      <c r="BK30" s="484"/>
      <c r="BL30" s="484"/>
      <c r="BM30" s="484"/>
      <c r="BN30" s="485"/>
      <c r="BO30" s="493"/>
      <c r="BP30" s="493"/>
      <c r="BQ30" s="493"/>
      <c r="BR30" s="493"/>
      <c r="BS30" s="493"/>
      <c r="BT30" s="494"/>
      <c r="BU30" s="505"/>
      <c r="BV30" s="484"/>
      <c r="BW30" s="484"/>
      <c r="BX30" s="484"/>
      <c r="BY30" s="484"/>
      <c r="BZ30" s="485"/>
      <c r="CA30" s="501"/>
      <c r="CB30" s="458"/>
      <c r="CC30" s="458"/>
      <c r="CD30" s="458"/>
      <c r="CE30" s="458"/>
      <c r="CF30" s="459"/>
      <c r="CG30" s="501"/>
      <c r="CH30" s="458"/>
      <c r="CI30" s="458"/>
      <c r="CJ30" s="458"/>
      <c r="CK30" s="458"/>
      <c r="CL30" s="459"/>
      <c r="CM30" s="501"/>
      <c r="CN30" s="458"/>
      <c r="CO30" s="458"/>
      <c r="CP30" s="458"/>
      <c r="CQ30" s="458"/>
      <c r="CR30" s="459"/>
      <c r="CS30" s="501"/>
      <c r="CT30" s="458"/>
      <c r="CU30" s="458"/>
      <c r="CV30" s="458"/>
      <c r="CW30" s="458"/>
      <c r="CX30" s="459"/>
      <c r="CY30" s="501"/>
      <c r="CZ30" s="458"/>
      <c r="DA30" s="458"/>
      <c r="DB30" s="458"/>
      <c r="DC30" s="458"/>
      <c r="DD30" s="459"/>
      <c r="DE30" s="501"/>
      <c r="DF30" s="458"/>
      <c r="DG30" s="458"/>
      <c r="DH30" s="458"/>
      <c r="DI30" s="458"/>
      <c r="DJ30" s="459"/>
      <c r="DK30" s="501"/>
      <c r="DL30" s="458"/>
      <c r="DM30" s="458"/>
      <c r="DN30" s="458"/>
      <c r="DO30" s="458"/>
      <c r="DP30" s="459"/>
      <c r="DQ30" s="503"/>
      <c r="DR30" s="458"/>
      <c r="DS30" s="458"/>
      <c r="DT30" s="458"/>
      <c r="DU30" s="458"/>
      <c r="DV30" s="459"/>
      <c r="DW30" s="426"/>
      <c r="DX30" s="173"/>
      <c r="DY30" s="174"/>
      <c r="DZ30" s="107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105"/>
      <c r="ES30" s="105"/>
      <c r="ET30" s="105"/>
      <c r="EU30" s="105"/>
      <c r="EV30" s="105"/>
      <c r="EW30" s="105"/>
      <c r="EX30" s="105"/>
      <c r="EY30" s="105"/>
      <c r="EZ30" s="105"/>
      <c r="FA30" s="105"/>
      <c r="FB30" s="105"/>
      <c r="FC30" s="105"/>
      <c r="FD30" s="105"/>
      <c r="FE30" s="105"/>
      <c r="FF30" s="105"/>
      <c r="FG30" s="105"/>
      <c r="FH30" s="105"/>
      <c r="FI30" s="105"/>
      <c r="FJ30" s="106"/>
    </row>
    <row r="31" spans="2:178" ht="14.4" customHeight="1" x14ac:dyDescent="0.65">
      <c r="B31" s="381"/>
      <c r="C31" s="382"/>
      <c r="D31" s="382"/>
      <c r="E31" s="382"/>
      <c r="F31" s="382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  <c r="V31" s="387"/>
      <c r="W31" s="387"/>
      <c r="X31" s="387"/>
      <c r="Y31" s="387"/>
      <c r="Z31" s="387"/>
      <c r="AA31" s="388"/>
      <c r="AB31" s="512" t="str">
        <f t="shared" ref="AB31:AB56" si="27">MID(AK31,1,1)</f>
        <v/>
      </c>
      <c r="AC31" s="512" t="str" cm="1">
        <f t="array" ref="AC31">IFERROR(_xlfn.IFS(AQ31="Mini Breaker","MB",AQ31="GoPact","GP",AQ31="EZC 100","EZ1",AQ31="EZC 250","EZ2",AQ31="CVS/NSX 250","CV2",AQ31="CVS/NSX/EZC 630","CV6",AQ31="NS 1600","NS1",AQ31="NW/MTZ 4000","NW4",AQ31="Conmutador PEQ.","CP",AQ31="Conmutador MED.","CM",AQ31="Conmutador GRA.","CG",AQ31="Contactores","CK"),"")</f>
        <v/>
      </c>
      <c r="AD31" s="513" t="str" cm="1">
        <f t="array" ref="AD31">IFERROR(_xlfn.IFS(AW31="Horizontal","H",AW31="Horizontal COMPUESTA","HC",AW31="Vertical","V",AW31="Vertical Compacta","VC",AW31="Vertical Extendida","VE"),"")</f>
        <v/>
      </c>
      <c r="AE31" s="472" t="str">
        <f t="shared" ref="AE31" si="28">IF(AH29&lt;&gt;"","+C","")</f>
        <v/>
      </c>
      <c r="AF31" s="473"/>
      <c r="AG31" s="473"/>
      <c r="AH31" s="474"/>
      <c r="AI31" s="474"/>
      <c r="AJ31" s="475"/>
      <c r="AK31" s="413"/>
      <c r="AL31" s="413"/>
      <c r="AM31" s="413"/>
      <c r="AN31" s="413"/>
      <c r="AO31" s="413"/>
      <c r="AP31" s="490"/>
      <c r="AQ31" s="486"/>
      <c r="AR31" s="486"/>
      <c r="AS31" s="486"/>
      <c r="AT31" s="486"/>
      <c r="AU31" s="486"/>
      <c r="AV31" s="487"/>
      <c r="AW31" s="486"/>
      <c r="AX31" s="486"/>
      <c r="AY31" s="486"/>
      <c r="AZ31" s="486"/>
      <c r="BA31" s="486"/>
      <c r="BB31" s="487"/>
      <c r="BC31" s="486"/>
      <c r="BD31" s="486"/>
      <c r="BE31" s="486"/>
      <c r="BF31" s="486"/>
      <c r="BG31" s="486"/>
      <c r="BH31" s="487"/>
      <c r="BI31" s="486"/>
      <c r="BJ31" s="486"/>
      <c r="BK31" s="486"/>
      <c r="BL31" s="486"/>
      <c r="BM31" s="486"/>
      <c r="BN31" s="487"/>
      <c r="BO31" s="495"/>
      <c r="BP31" s="495"/>
      <c r="BQ31" s="495"/>
      <c r="BR31" s="495"/>
      <c r="BS31" s="495"/>
      <c r="BT31" s="496"/>
      <c r="BU31" s="506" t="s">
        <v>564</v>
      </c>
      <c r="BV31" s="486"/>
      <c r="BW31" s="486"/>
      <c r="BX31" s="486"/>
      <c r="BY31" s="486"/>
      <c r="BZ31" s="487"/>
      <c r="CA31" s="507" t="s">
        <v>564</v>
      </c>
      <c r="CB31" s="460"/>
      <c r="CC31" s="460"/>
      <c r="CD31" s="460"/>
      <c r="CE31" s="460"/>
      <c r="CF31" s="461"/>
      <c r="CG31" s="507" t="s">
        <v>564</v>
      </c>
      <c r="CH31" s="460"/>
      <c r="CI31" s="460"/>
      <c r="CJ31" s="460"/>
      <c r="CK31" s="460"/>
      <c r="CL31" s="461"/>
      <c r="CM31" s="507" t="s">
        <v>564</v>
      </c>
      <c r="CN31" s="460"/>
      <c r="CO31" s="460"/>
      <c r="CP31" s="460"/>
      <c r="CQ31" s="460"/>
      <c r="CR31" s="461"/>
      <c r="CS31" s="507" t="str">
        <f>IFERROR(VLOOKUP(AD32,BD!AD16:AX59,19,FALSE),"")</f>
        <v/>
      </c>
      <c r="CT31" s="460"/>
      <c r="CU31" s="460"/>
      <c r="CV31" s="460"/>
      <c r="CW31" s="460"/>
      <c r="CX31" s="461"/>
      <c r="CY31" s="507" t="str">
        <f>IFERROR(VLOOKUP(AD32,BD!AD16:AX59,20,FALSE),"")</f>
        <v/>
      </c>
      <c r="CZ31" s="460"/>
      <c r="DA31" s="460"/>
      <c r="DB31" s="460"/>
      <c r="DC31" s="460"/>
      <c r="DD31" s="461"/>
      <c r="DE31" s="507" t="s">
        <v>564</v>
      </c>
      <c r="DF31" s="460"/>
      <c r="DG31" s="460"/>
      <c r="DH31" s="460"/>
      <c r="DI31" s="460"/>
      <c r="DJ31" s="461"/>
      <c r="DK31" s="507" t="s">
        <v>564</v>
      </c>
      <c r="DL31" s="460"/>
      <c r="DM31" s="460"/>
      <c r="DN31" s="460"/>
      <c r="DO31" s="460"/>
      <c r="DP31" s="461"/>
      <c r="DQ31" s="508" t="b">
        <v>0</v>
      </c>
      <c r="DR31" s="460" t="str">
        <f t="shared" ref="DR31" si="29">IF(DQ31=TRUE,"######","")</f>
        <v/>
      </c>
      <c r="DS31" s="460"/>
      <c r="DT31" s="460"/>
      <c r="DU31" s="460"/>
      <c r="DV31" s="461"/>
      <c r="DW31" s="426" t="str">
        <f>IFERROR(MID(#REF!,1,1),"")</f>
        <v/>
      </c>
      <c r="DX31" s="173" t="str">
        <f>IFERROR(MID(#REF!,1,1),"")</f>
        <v/>
      </c>
      <c r="DY31" s="178" t="str">
        <f t="shared" ref="DY31" si="30">IFERROR(IF(AND(AB31="CV6",AC31="H",DW31="F",DX31="P"),"SiPM",""),"")</f>
        <v/>
      </c>
      <c r="DZ31" s="107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5"/>
      <c r="FB31" s="105"/>
      <c r="FC31" s="105"/>
      <c r="FD31" s="105"/>
      <c r="FE31" s="105"/>
      <c r="FF31" s="105"/>
      <c r="FG31" s="105"/>
      <c r="FH31" s="105"/>
      <c r="FI31" s="105"/>
      <c r="FJ31" s="106"/>
    </row>
    <row r="32" spans="2:178" ht="14.4" customHeight="1" thickBot="1" x14ac:dyDescent="0.7">
      <c r="B32" s="383"/>
      <c r="C32" s="384"/>
      <c r="D32" s="384"/>
      <c r="E32" s="384"/>
      <c r="F32" s="384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90"/>
      <c r="AB32" s="512" t="str">
        <f t="shared" ref="AB32:AB56" si="31">MID(BC31,1,1)</f>
        <v/>
      </c>
      <c r="AC32" s="512" t="str">
        <f t="shared" ref="AC32:AC56" si="32">IFERROR(MID(BI31,1,1),"")</f>
        <v/>
      </c>
      <c r="AD32" s="513" t="str">
        <f t="shared" ref="AD32" si="33">AB31&amp;AC31&amp;AD31&amp;AB32&amp;AC32&amp;$AI$12&amp;BU31</f>
        <v>W3-</v>
      </c>
      <c r="AE32" s="476"/>
      <c r="AF32" s="477"/>
      <c r="AG32" s="477"/>
      <c r="AH32" s="478"/>
      <c r="AI32" s="478"/>
      <c r="AJ32" s="479"/>
      <c r="AK32" s="488"/>
      <c r="AL32" s="488"/>
      <c r="AM32" s="488"/>
      <c r="AN32" s="488"/>
      <c r="AO32" s="488"/>
      <c r="AP32" s="489"/>
      <c r="AQ32" s="488"/>
      <c r="AR32" s="488"/>
      <c r="AS32" s="488"/>
      <c r="AT32" s="488"/>
      <c r="AU32" s="488"/>
      <c r="AV32" s="489"/>
      <c r="AW32" s="488"/>
      <c r="AX32" s="488"/>
      <c r="AY32" s="488"/>
      <c r="AZ32" s="488"/>
      <c r="BA32" s="488"/>
      <c r="BB32" s="489"/>
      <c r="BC32" s="488"/>
      <c r="BD32" s="488"/>
      <c r="BE32" s="488"/>
      <c r="BF32" s="488"/>
      <c r="BG32" s="488"/>
      <c r="BH32" s="489"/>
      <c r="BI32" s="488"/>
      <c r="BJ32" s="488"/>
      <c r="BK32" s="488"/>
      <c r="BL32" s="488"/>
      <c r="BM32" s="488"/>
      <c r="BN32" s="489"/>
      <c r="BO32" s="497"/>
      <c r="BP32" s="497"/>
      <c r="BQ32" s="497"/>
      <c r="BR32" s="497"/>
      <c r="BS32" s="497"/>
      <c r="BT32" s="498"/>
      <c r="BU32" s="509"/>
      <c r="BV32" s="488"/>
      <c r="BW32" s="488"/>
      <c r="BX32" s="488"/>
      <c r="BY32" s="488"/>
      <c r="BZ32" s="489"/>
      <c r="CA32" s="510"/>
      <c r="CB32" s="462"/>
      <c r="CC32" s="462"/>
      <c r="CD32" s="462"/>
      <c r="CE32" s="462"/>
      <c r="CF32" s="463"/>
      <c r="CG32" s="510"/>
      <c r="CH32" s="462"/>
      <c r="CI32" s="462"/>
      <c r="CJ32" s="462"/>
      <c r="CK32" s="462"/>
      <c r="CL32" s="463"/>
      <c r="CM32" s="510"/>
      <c r="CN32" s="462"/>
      <c r="CO32" s="462"/>
      <c r="CP32" s="462"/>
      <c r="CQ32" s="462"/>
      <c r="CR32" s="463"/>
      <c r="CS32" s="510"/>
      <c r="CT32" s="462"/>
      <c r="CU32" s="462"/>
      <c r="CV32" s="462"/>
      <c r="CW32" s="462"/>
      <c r="CX32" s="463"/>
      <c r="CY32" s="510"/>
      <c r="CZ32" s="462"/>
      <c r="DA32" s="462"/>
      <c r="DB32" s="462"/>
      <c r="DC32" s="462"/>
      <c r="DD32" s="463"/>
      <c r="DE32" s="510"/>
      <c r="DF32" s="462"/>
      <c r="DG32" s="462"/>
      <c r="DH32" s="462"/>
      <c r="DI32" s="462"/>
      <c r="DJ32" s="463"/>
      <c r="DK32" s="510"/>
      <c r="DL32" s="462"/>
      <c r="DM32" s="462"/>
      <c r="DN32" s="462"/>
      <c r="DO32" s="462"/>
      <c r="DP32" s="463"/>
      <c r="DQ32" s="511"/>
      <c r="DR32" s="462"/>
      <c r="DS32" s="462"/>
      <c r="DT32" s="462"/>
      <c r="DU32" s="462"/>
      <c r="DV32" s="463"/>
      <c r="DW32" s="426"/>
      <c r="DX32" s="173"/>
      <c r="DY32" s="174"/>
      <c r="DZ32" s="107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/>
      <c r="EW32" s="105"/>
      <c r="EX32" s="105"/>
      <c r="EY32" s="105"/>
      <c r="EZ32" s="105"/>
      <c r="FA32" s="105"/>
      <c r="FB32" s="105"/>
      <c r="FC32" s="105"/>
      <c r="FD32" s="105"/>
      <c r="FE32" s="105"/>
      <c r="FF32" s="105"/>
      <c r="FG32" s="105"/>
      <c r="FH32" s="105"/>
      <c r="FI32" s="105"/>
      <c r="FJ32" s="106"/>
    </row>
    <row r="33" spans="2:166" ht="14.4" customHeight="1" thickTop="1" x14ac:dyDescent="0.65">
      <c r="B33" s="379"/>
      <c r="C33" s="380"/>
      <c r="D33" s="380"/>
      <c r="E33" s="380"/>
      <c r="F33" s="380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6"/>
      <c r="AB33" s="512" t="str">
        <f t="shared" ref="AB33:AB56" si="34">MID(AK33,1,1)</f>
        <v/>
      </c>
      <c r="AC33" s="512" t="str" cm="1">
        <f t="array" ref="AC33">IFERROR(_xlfn.IFS(AQ33="Mini Breaker","MB",AQ33="GoPact","GP",AQ33="EZC 100","EZ1",AQ33="EZC 250","EZ2",AQ33="CVS/NSX 250","CV2",AQ33="CVS/NSX/EZC 630","CV6",AQ33="NS 1600","NS1",AQ33="NW/MTZ 4000","NW4",AQ33="Conmutador PEQ.","CP",AQ33="Conmutador MED.","CM",AQ33="Conmutador GRA.","CG",AQ33="Contactores","CK"),"")</f>
        <v/>
      </c>
      <c r="AD33" s="513" t="str" cm="1">
        <f t="array" ref="AD33">IFERROR(_xlfn.IFS(AW33="Horizontal","H",AW33="Horizontal COMPUESTA","HC",AW33="Vertical","V",AW33="Vertical Compacta","VC",AW33="Vertical Extendida","VE"),"")</f>
        <v/>
      </c>
      <c r="AE33" s="464" t="str">
        <f t="shared" ref="AE33" si="35">IF(AH31&lt;&gt;"","+C","")</f>
        <v/>
      </c>
      <c r="AF33" s="465"/>
      <c r="AG33" s="465"/>
      <c r="AH33" s="466"/>
      <c r="AI33" s="466"/>
      <c r="AJ33" s="467"/>
      <c r="AK33" s="480"/>
      <c r="AL33" s="480"/>
      <c r="AM33" s="480"/>
      <c r="AN33" s="480"/>
      <c r="AO33" s="480"/>
      <c r="AP33" s="481"/>
      <c r="AQ33" s="482"/>
      <c r="AR33" s="482"/>
      <c r="AS33" s="482"/>
      <c r="AT33" s="482"/>
      <c r="AU33" s="482"/>
      <c r="AV33" s="483"/>
      <c r="AW33" s="482"/>
      <c r="AX33" s="482"/>
      <c r="AY33" s="482"/>
      <c r="AZ33" s="482"/>
      <c r="BA33" s="482"/>
      <c r="BB33" s="483"/>
      <c r="BC33" s="482"/>
      <c r="BD33" s="482"/>
      <c r="BE33" s="482"/>
      <c r="BF33" s="482"/>
      <c r="BG33" s="482"/>
      <c r="BH33" s="483"/>
      <c r="BI33" s="482"/>
      <c r="BJ33" s="482"/>
      <c r="BK33" s="482"/>
      <c r="BL33" s="482"/>
      <c r="BM33" s="482"/>
      <c r="BN33" s="483"/>
      <c r="BO33" s="491"/>
      <c r="BP33" s="491"/>
      <c r="BQ33" s="491"/>
      <c r="BR33" s="491"/>
      <c r="BS33" s="491"/>
      <c r="BT33" s="492"/>
      <c r="BU33" s="504" t="s">
        <v>564</v>
      </c>
      <c r="BV33" s="482"/>
      <c r="BW33" s="482"/>
      <c r="BX33" s="482"/>
      <c r="BY33" s="482"/>
      <c r="BZ33" s="483"/>
      <c r="CA33" s="500" t="s">
        <v>564</v>
      </c>
      <c r="CB33" s="456"/>
      <c r="CC33" s="456"/>
      <c r="CD33" s="456"/>
      <c r="CE33" s="456"/>
      <c r="CF33" s="457"/>
      <c r="CG33" s="500" t="s">
        <v>564</v>
      </c>
      <c r="CH33" s="456"/>
      <c r="CI33" s="456"/>
      <c r="CJ33" s="456"/>
      <c r="CK33" s="456"/>
      <c r="CL33" s="457"/>
      <c r="CM33" s="500" t="s">
        <v>564</v>
      </c>
      <c r="CN33" s="456"/>
      <c r="CO33" s="456"/>
      <c r="CP33" s="456"/>
      <c r="CQ33" s="456"/>
      <c r="CR33" s="457"/>
      <c r="CS33" s="500" t="str">
        <f>IFERROR(VLOOKUP(AD34,BD!AD18:AX61,19,FALSE),"")</f>
        <v/>
      </c>
      <c r="CT33" s="456"/>
      <c r="CU33" s="456"/>
      <c r="CV33" s="456"/>
      <c r="CW33" s="456"/>
      <c r="CX33" s="457"/>
      <c r="CY33" s="500" t="str">
        <f>IFERROR(VLOOKUP(AD34,BD!AD18:AX61,20,FALSE),"")</f>
        <v/>
      </c>
      <c r="CZ33" s="456"/>
      <c r="DA33" s="456"/>
      <c r="DB33" s="456"/>
      <c r="DC33" s="456"/>
      <c r="DD33" s="457"/>
      <c r="DE33" s="500" t="s">
        <v>564</v>
      </c>
      <c r="DF33" s="456"/>
      <c r="DG33" s="456"/>
      <c r="DH33" s="456"/>
      <c r="DI33" s="456"/>
      <c r="DJ33" s="457"/>
      <c r="DK33" s="500" t="s">
        <v>564</v>
      </c>
      <c r="DL33" s="456"/>
      <c r="DM33" s="456"/>
      <c r="DN33" s="456"/>
      <c r="DO33" s="456"/>
      <c r="DP33" s="457"/>
      <c r="DQ33" s="502" t="b">
        <v>0</v>
      </c>
      <c r="DR33" s="456" t="str">
        <f t="shared" ref="DR33" si="36">IF(DQ33=TRUE,"######","")</f>
        <v/>
      </c>
      <c r="DS33" s="456"/>
      <c r="DT33" s="456"/>
      <c r="DU33" s="456"/>
      <c r="DV33" s="457"/>
      <c r="DW33" s="426" t="str">
        <f t="shared" ref="DW33" si="37">IFERROR(MID(CA33,1,1),"")</f>
        <v>-</v>
      </c>
      <c r="DX33" s="173" t="str">
        <f t="shared" ref="DX33" si="38">IFERROR(MID(CG33,1,1),"")</f>
        <v>-</v>
      </c>
      <c r="DY33" s="174" t="str">
        <f t="shared" ref="DY33" si="39">IFERROR(IF(AND(AB33="CV6",AC33="H",DW33="F",DX33="P"),"SiPM",""),"")</f>
        <v/>
      </c>
      <c r="DZ33" s="107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6"/>
    </row>
    <row r="34" spans="2:166" ht="14.4" customHeight="1" x14ac:dyDescent="0.65">
      <c r="B34" s="381"/>
      <c r="C34" s="382"/>
      <c r="D34" s="382"/>
      <c r="E34" s="382"/>
      <c r="F34" s="382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88"/>
      <c r="AB34" s="512" t="str">
        <f t="shared" ref="AB34:AB56" si="40">MID(BC33,1,1)</f>
        <v/>
      </c>
      <c r="AC34" s="512" t="str">
        <f t="shared" ref="AC34:AC56" si="41">IFERROR(MID(BI33,1,1),"")</f>
        <v/>
      </c>
      <c r="AD34" s="513" t="str">
        <f t="shared" ref="AD34" si="42">AB33&amp;AC33&amp;AD33&amp;AB34&amp;AC34&amp;$AI$12&amp;BU33</f>
        <v>W3-</v>
      </c>
      <c r="AE34" s="468"/>
      <c r="AF34" s="469"/>
      <c r="AG34" s="469"/>
      <c r="AH34" s="470"/>
      <c r="AI34" s="470"/>
      <c r="AJ34" s="471"/>
      <c r="AK34" s="484"/>
      <c r="AL34" s="484"/>
      <c r="AM34" s="484"/>
      <c r="AN34" s="484"/>
      <c r="AO34" s="484"/>
      <c r="AP34" s="485"/>
      <c r="AQ34" s="484"/>
      <c r="AR34" s="484"/>
      <c r="AS34" s="484"/>
      <c r="AT34" s="484"/>
      <c r="AU34" s="484"/>
      <c r="AV34" s="485"/>
      <c r="AW34" s="484"/>
      <c r="AX34" s="484"/>
      <c r="AY34" s="484"/>
      <c r="AZ34" s="484"/>
      <c r="BA34" s="484"/>
      <c r="BB34" s="485"/>
      <c r="BC34" s="484"/>
      <c r="BD34" s="484"/>
      <c r="BE34" s="484"/>
      <c r="BF34" s="484"/>
      <c r="BG34" s="484"/>
      <c r="BH34" s="485"/>
      <c r="BI34" s="484"/>
      <c r="BJ34" s="484"/>
      <c r="BK34" s="484"/>
      <c r="BL34" s="484"/>
      <c r="BM34" s="484"/>
      <c r="BN34" s="485"/>
      <c r="BO34" s="493"/>
      <c r="BP34" s="493"/>
      <c r="BQ34" s="493"/>
      <c r="BR34" s="493"/>
      <c r="BS34" s="493"/>
      <c r="BT34" s="494"/>
      <c r="BU34" s="505"/>
      <c r="BV34" s="484"/>
      <c r="BW34" s="484"/>
      <c r="BX34" s="484"/>
      <c r="BY34" s="484"/>
      <c r="BZ34" s="485"/>
      <c r="CA34" s="501"/>
      <c r="CB34" s="458"/>
      <c r="CC34" s="458"/>
      <c r="CD34" s="458"/>
      <c r="CE34" s="458"/>
      <c r="CF34" s="459"/>
      <c r="CG34" s="501"/>
      <c r="CH34" s="458"/>
      <c r="CI34" s="458"/>
      <c r="CJ34" s="458"/>
      <c r="CK34" s="458"/>
      <c r="CL34" s="459"/>
      <c r="CM34" s="501"/>
      <c r="CN34" s="458"/>
      <c r="CO34" s="458"/>
      <c r="CP34" s="458"/>
      <c r="CQ34" s="458"/>
      <c r="CR34" s="459"/>
      <c r="CS34" s="501"/>
      <c r="CT34" s="458"/>
      <c r="CU34" s="458"/>
      <c r="CV34" s="458"/>
      <c r="CW34" s="458"/>
      <c r="CX34" s="459"/>
      <c r="CY34" s="501"/>
      <c r="CZ34" s="458"/>
      <c r="DA34" s="458"/>
      <c r="DB34" s="458"/>
      <c r="DC34" s="458"/>
      <c r="DD34" s="459"/>
      <c r="DE34" s="501"/>
      <c r="DF34" s="458"/>
      <c r="DG34" s="458"/>
      <c r="DH34" s="458"/>
      <c r="DI34" s="458"/>
      <c r="DJ34" s="459"/>
      <c r="DK34" s="501"/>
      <c r="DL34" s="458"/>
      <c r="DM34" s="458"/>
      <c r="DN34" s="458"/>
      <c r="DO34" s="458"/>
      <c r="DP34" s="459"/>
      <c r="DQ34" s="503"/>
      <c r="DR34" s="458"/>
      <c r="DS34" s="458"/>
      <c r="DT34" s="458"/>
      <c r="DU34" s="458"/>
      <c r="DV34" s="459"/>
      <c r="DW34" s="426"/>
      <c r="DX34" s="173"/>
      <c r="DY34" s="174"/>
      <c r="DZ34" s="107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6"/>
    </row>
    <row r="35" spans="2:166" ht="14.4" customHeight="1" thickBot="1" x14ac:dyDescent="0.7">
      <c r="B35" s="383"/>
      <c r="C35" s="384"/>
      <c r="D35" s="384"/>
      <c r="E35" s="384"/>
      <c r="F35" s="384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90"/>
      <c r="AB35" s="512" t="str">
        <f t="shared" ref="AB35:AB56" si="43">MID(AK35,1,1)</f>
        <v/>
      </c>
      <c r="AC35" s="512" t="str" cm="1">
        <f t="array" ref="AC35">IFERROR(_xlfn.IFS(AQ35="Mini Breaker","MB",AQ35="GoPact","GP",AQ35="EZC 100","EZ1",AQ35="EZC 250","EZ2",AQ35="CVS/NSX 250","CV2",AQ35="CVS/NSX/EZC 630","CV6",AQ35="NS 1600","NS1",AQ35="NW/MTZ 4000","NW4",AQ35="Conmutador PEQ.","CP",AQ35="Conmutador MED.","CM",AQ35="Conmutador GRA.","CG",AQ35="Contactores","CK"),"")</f>
        <v/>
      </c>
      <c r="AD35" s="513" t="str" cm="1">
        <f t="array" ref="AD35">IFERROR(_xlfn.IFS(AW35="Horizontal","H",AW35="Horizontal COMPUESTA","HC",AW35="Vertical","V",AW35="Vertical Compacta","VC",AW35="Vertical Extendida","VE"),"")</f>
        <v/>
      </c>
      <c r="AE35" s="472" t="str">
        <f t="shared" ref="AE35" si="44">IF(AH33&lt;&gt;"","+C","")</f>
        <v/>
      </c>
      <c r="AF35" s="473"/>
      <c r="AG35" s="473"/>
      <c r="AH35" s="474"/>
      <c r="AI35" s="474"/>
      <c r="AJ35" s="475"/>
      <c r="AK35" s="413"/>
      <c r="AL35" s="413"/>
      <c r="AM35" s="413"/>
      <c r="AN35" s="413"/>
      <c r="AO35" s="413"/>
      <c r="AP35" s="490"/>
      <c r="AQ35" s="486"/>
      <c r="AR35" s="486"/>
      <c r="AS35" s="486"/>
      <c r="AT35" s="486"/>
      <c r="AU35" s="486"/>
      <c r="AV35" s="487"/>
      <c r="AW35" s="486"/>
      <c r="AX35" s="486"/>
      <c r="AY35" s="486"/>
      <c r="AZ35" s="486"/>
      <c r="BA35" s="486"/>
      <c r="BB35" s="487"/>
      <c r="BC35" s="486"/>
      <c r="BD35" s="486"/>
      <c r="BE35" s="486"/>
      <c r="BF35" s="486"/>
      <c r="BG35" s="486"/>
      <c r="BH35" s="487"/>
      <c r="BI35" s="486"/>
      <c r="BJ35" s="486"/>
      <c r="BK35" s="486"/>
      <c r="BL35" s="486"/>
      <c r="BM35" s="486"/>
      <c r="BN35" s="487"/>
      <c r="BO35" s="495"/>
      <c r="BP35" s="495"/>
      <c r="BQ35" s="495"/>
      <c r="BR35" s="495"/>
      <c r="BS35" s="495"/>
      <c r="BT35" s="496"/>
      <c r="BU35" s="506" t="s">
        <v>564</v>
      </c>
      <c r="BV35" s="486"/>
      <c r="BW35" s="486"/>
      <c r="BX35" s="486"/>
      <c r="BY35" s="486"/>
      <c r="BZ35" s="487"/>
      <c r="CA35" s="507" t="s">
        <v>564</v>
      </c>
      <c r="CB35" s="460"/>
      <c r="CC35" s="460"/>
      <c r="CD35" s="460"/>
      <c r="CE35" s="460"/>
      <c r="CF35" s="461"/>
      <c r="CG35" s="507" t="s">
        <v>564</v>
      </c>
      <c r="CH35" s="460"/>
      <c r="CI35" s="460"/>
      <c r="CJ35" s="460"/>
      <c r="CK35" s="460"/>
      <c r="CL35" s="461"/>
      <c r="CM35" s="507" t="s">
        <v>564</v>
      </c>
      <c r="CN35" s="460"/>
      <c r="CO35" s="460"/>
      <c r="CP35" s="460"/>
      <c r="CQ35" s="460"/>
      <c r="CR35" s="461"/>
      <c r="CS35" s="507" t="str">
        <f>IFERROR(VLOOKUP(AD36,BD!AD20:AX63,19,FALSE),"")</f>
        <v/>
      </c>
      <c r="CT35" s="460"/>
      <c r="CU35" s="460"/>
      <c r="CV35" s="460"/>
      <c r="CW35" s="460"/>
      <c r="CX35" s="461"/>
      <c r="CY35" s="507" t="str">
        <f>IFERROR(VLOOKUP(AD36,BD!AD20:AX63,20,FALSE),"")</f>
        <v/>
      </c>
      <c r="CZ35" s="460"/>
      <c r="DA35" s="460"/>
      <c r="DB35" s="460"/>
      <c r="DC35" s="460"/>
      <c r="DD35" s="461"/>
      <c r="DE35" s="507" t="s">
        <v>564</v>
      </c>
      <c r="DF35" s="460"/>
      <c r="DG35" s="460"/>
      <c r="DH35" s="460"/>
      <c r="DI35" s="460"/>
      <c r="DJ35" s="461"/>
      <c r="DK35" s="507" t="s">
        <v>564</v>
      </c>
      <c r="DL35" s="460"/>
      <c r="DM35" s="460"/>
      <c r="DN35" s="460"/>
      <c r="DO35" s="460"/>
      <c r="DP35" s="461"/>
      <c r="DQ35" s="508" t="b">
        <v>0</v>
      </c>
      <c r="DR35" s="460" t="str">
        <f t="shared" ref="DR35" si="45">IF(DQ35=TRUE,"######","")</f>
        <v/>
      </c>
      <c r="DS35" s="460"/>
      <c r="DT35" s="460"/>
      <c r="DU35" s="460"/>
      <c r="DV35" s="461"/>
      <c r="DW35" s="426" t="str">
        <f t="shared" ref="DW35" si="46">IFERROR(MID(CA35,1,1),"")</f>
        <v>-</v>
      </c>
      <c r="DX35" s="173" t="str">
        <f t="shared" ref="DX35" si="47">IFERROR(MID(CG35,1,1),"")</f>
        <v>-</v>
      </c>
      <c r="DY35" s="174" t="str">
        <f t="shared" ref="DY35" si="48">IFERROR(IF(AND(AB35="CV6",AC35="H",DW35="F",DX35="P"),"SiPM",""),"")</f>
        <v/>
      </c>
      <c r="DZ35" s="107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05"/>
      <c r="FC35" s="105"/>
      <c r="FD35" s="105"/>
      <c r="FE35" s="105"/>
      <c r="FF35" s="105"/>
      <c r="FG35" s="105"/>
      <c r="FH35" s="105"/>
      <c r="FI35" s="105"/>
      <c r="FJ35" s="106"/>
    </row>
    <row r="36" spans="2:166" ht="14.4" customHeight="1" thickTop="1" x14ac:dyDescent="0.65">
      <c r="B36" s="379"/>
      <c r="C36" s="380"/>
      <c r="D36" s="380"/>
      <c r="E36" s="380"/>
      <c r="F36" s="380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6"/>
      <c r="AB36" s="512" t="str">
        <f t="shared" ref="AB36:AB56" si="49">MID(BC35,1,1)</f>
        <v/>
      </c>
      <c r="AC36" s="512" t="str">
        <f t="shared" ref="AC36:AC56" si="50">IFERROR(MID(BI35,1,1),"")</f>
        <v/>
      </c>
      <c r="AD36" s="513" t="str">
        <f t="shared" ref="AD36" si="51">AB35&amp;AC35&amp;AD35&amp;AB36&amp;AC36&amp;$AI$12&amp;BU35</f>
        <v>W3-</v>
      </c>
      <c r="AE36" s="476"/>
      <c r="AF36" s="477"/>
      <c r="AG36" s="477"/>
      <c r="AH36" s="478"/>
      <c r="AI36" s="478"/>
      <c r="AJ36" s="479"/>
      <c r="AK36" s="488"/>
      <c r="AL36" s="488"/>
      <c r="AM36" s="488"/>
      <c r="AN36" s="488"/>
      <c r="AO36" s="488"/>
      <c r="AP36" s="489"/>
      <c r="AQ36" s="488"/>
      <c r="AR36" s="488"/>
      <c r="AS36" s="488"/>
      <c r="AT36" s="488"/>
      <c r="AU36" s="488"/>
      <c r="AV36" s="489"/>
      <c r="AW36" s="488"/>
      <c r="AX36" s="488"/>
      <c r="AY36" s="488"/>
      <c r="AZ36" s="488"/>
      <c r="BA36" s="488"/>
      <c r="BB36" s="489"/>
      <c r="BC36" s="488"/>
      <c r="BD36" s="488"/>
      <c r="BE36" s="488"/>
      <c r="BF36" s="488"/>
      <c r="BG36" s="488"/>
      <c r="BH36" s="489"/>
      <c r="BI36" s="488"/>
      <c r="BJ36" s="488"/>
      <c r="BK36" s="488"/>
      <c r="BL36" s="488"/>
      <c r="BM36" s="488"/>
      <c r="BN36" s="489"/>
      <c r="BO36" s="497"/>
      <c r="BP36" s="497"/>
      <c r="BQ36" s="497"/>
      <c r="BR36" s="497"/>
      <c r="BS36" s="497"/>
      <c r="BT36" s="498"/>
      <c r="BU36" s="509"/>
      <c r="BV36" s="488"/>
      <c r="BW36" s="488"/>
      <c r="BX36" s="488"/>
      <c r="BY36" s="488"/>
      <c r="BZ36" s="489"/>
      <c r="CA36" s="510"/>
      <c r="CB36" s="462"/>
      <c r="CC36" s="462"/>
      <c r="CD36" s="462"/>
      <c r="CE36" s="462"/>
      <c r="CF36" s="463"/>
      <c r="CG36" s="510"/>
      <c r="CH36" s="462"/>
      <c r="CI36" s="462"/>
      <c r="CJ36" s="462"/>
      <c r="CK36" s="462"/>
      <c r="CL36" s="463"/>
      <c r="CM36" s="510"/>
      <c r="CN36" s="462"/>
      <c r="CO36" s="462"/>
      <c r="CP36" s="462"/>
      <c r="CQ36" s="462"/>
      <c r="CR36" s="463"/>
      <c r="CS36" s="510"/>
      <c r="CT36" s="462"/>
      <c r="CU36" s="462"/>
      <c r="CV36" s="462"/>
      <c r="CW36" s="462"/>
      <c r="CX36" s="463"/>
      <c r="CY36" s="510"/>
      <c r="CZ36" s="462"/>
      <c r="DA36" s="462"/>
      <c r="DB36" s="462"/>
      <c r="DC36" s="462"/>
      <c r="DD36" s="463"/>
      <c r="DE36" s="510"/>
      <c r="DF36" s="462"/>
      <c r="DG36" s="462"/>
      <c r="DH36" s="462"/>
      <c r="DI36" s="462"/>
      <c r="DJ36" s="463"/>
      <c r="DK36" s="510"/>
      <c r="DL36" s="462"/>
      <c r="DM36" s="462"/>
      <c r="DN36" s="462"/>
      <c r="DO36" s="462"/>
      <c r="DP36" s="463"/>
      <c r="DQ36" s="511"/>
      <c r="DR36" s="462"/>
      <c r="DS36" s="462"/>
      <c r="DT36" s="462"/>
      <c r="DU36" s="462"/>
      <c r="DV36" s="463"/>
      <c r="DW36" s="426"/>
      <c r="DX36" s="173"/>
      <c r="DY36" s="174"/>
      <c r="DZ36" s="107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6"/>
    </row>
    <row r="37" spans="2:166" ht="14.4" customHeight="1" x14ac:dyDescent="0.65">
      <c r="B37" s="381"/>
      <c r="C37" s="382"/>
      <c r="D37" s="382"/>
      <c r="E37" s="382"/>
      <c r="F37" s="382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387"/>
      <c r="R37" s="387"/>
      <c r="S37" s="387"/>
      <c r="T37" s="387"/>
      <c r="U37" s="387"/>
      <c r="V37" s="387"/>
      <c r="W37" s="387"/>
      <c r="X37" s="387"/>
      <c r="Y37" s="387"/>
      <c r="Z37" s="387"/>
      <c r="AA37" s="388"/>
      <c r="AB37" s="512" t="str">
        <f t="shared" ref="AB37:AB56" si="52">MID(AK37,1,1)</f>
        <v/>
      </c>
      <c r="AC37" s="512" t="str" cm="1">
        <f t="array" ref="AC37">IFERROR(_xlfn.IFS(AQ37="Mini Breaker","MB",AQ37="GoPact","GP",AQ37="EZC 100","EZ1",AQ37="EZC 250","EZ2",AQ37="CVS/NSX 250","CV2",AQ37="CVS/NSX/EZC 630","CV6",AQ37="NS 1600","NS1",AQ37="NW/MTZ 4000","NW4",AQ37="Conmutador PEQ.","CP",AQ37="Conmutador MED.","CM",AQ37="Conmutador GRA.","CG",AQ37="Contactores","CK"),"")</f>
        <v/>
      </c>
      <c r="AD37" s="513" t="str" cm="1">
        <f t="array" ref="AD37">IFERROR(_xlfn.IFS(AW37="Horizontal","H",AW37="Horizontal COMPUESTA","HC",AW37="Vertical","V",AW37="Vertical Compacta","VC",AW37="Vertical Extendida","VE"),"")</f>
        <v/>
      </c>
      <c r="AE37" s="464" t="str">
        <f t="shared" ref="AE37" si="53">IF(AH35&lt;&gt;"","+C","")</f>
        <v/>
      </c>
      <c r="AF37" s="465"/>
      <c r="AG37" s="465"/>
      <c r="AH37" s="466"/>
      <c r="AI37" s="466"/>
      <c r="AJ37" s="467"/>
      <c r="AK37" s="480"/>
      <c r="AL37" s="480"/>
      <c r="AM37" s="480"/>
      <c r="AN37" s="480"/>
      <c r="AO37" s="480"/>
      <c r="AP37" s="481"/>
      <c r="AQ37" s="482"/>
      <c r="AR37" s="482"/>
      <c r="AS37" s="482"/>
      <c r="AT37" s="482"/>
      <c r="AU37" s="482"/>
      <c r="AV37" s="483"/>
      <c r="AW37" s="482"/>
      <c r="AX37" s="482"/>
      <c r="AY37" s="482"/>
      <c r="AZ37" s="482"/>
      <c r="BA37" s="482"/>
      <c r="BB37" s="483"/>
      <c r="BC37" s="482"/>
      <c r="BD37" s="482"/>
      <c r="BE37" s="482"/>
      <c r="BF37" s="482"/>
      <c r="BG37" s="482"/>
      <c r="BH37" s="483"/>
      <c r="BI37" s="482"/>
      <c r="BJ37" s="482"/>
      <c r="BK37" s="482"/>
      <c r="BL37" s="482"/>
      <c r="BM37" s="482"/>
      <c r="BN37" s="483"/>
      <c r="BO37" s="491"/>
      <c r="BP37" s="491"/>
      <c r="BQ37" s="491"/>
      <c r="BR37" s="491"/>
      <c r="BS37" s="491"/>
      <c r="BT37" s="492"/>
      <c r="BU37" s="504" t="s">
        <v>564</v>
      </c>
      <c r="BV37" s="482"/>
      <c r="BW37" s="482"/>
      <c r="BX37" s="482"/>
      <c r="BY37" s="482"/>
      <c r="BZ37" s="483"/>
      <c r="CA37" s="500" t="s">
        <v>564</v>
      </c>
      <c r="CB37" s="456"/>
      <c r="CC37" s="456"/>
      <c r="CD37" s="456"/>
      <c r="CE37" s="456"/>
      <c r="CF37" s="457"/>
      <c r="CG37" s="500" t="s">
        <v>564</v>
      </c>
      <c r="CH37" s="456"/>
      <c r="CI37" s="456"/>
      <c r="CJ37" s="456"/>
      <c r="CK37" s="456"/>
      <c r="CL37" s="457"/>
      <c r="CM37" s="500" t="s">
        <v>564</v>
      </c>
      <c r="CN37" s="456"/>
      <c r="CO37" s="456"/>
      <c r="CP37" s="456"/>
      <c r="CQ37" s="456"/>
      <c r="CR37" s="457"/>
      <c r="CS37" s="500" t="str">
        <f>IFERROR(VLOOKUP(AD38,BD!AD22:AX65,19,FALSE),"")</f>
        <v/>
      </c>
      <c r="CT37" s="456"/>
      <c r="CU37" s="456"/>
      <c r="CV37" s="456"/>
      <c r="CW37" s="456"/>
      <c r="CX37" s="457"/>
      <c r="CY37" s="500" t="str">
        <f>IFERROR(VLOOKUP(AD38,BD!AD22:AX65,20,FALSE),"")</f>
        <v/>
      </c>
      <c r="CZ37" s="456"/>
      <c r="DA37" s="456"/>
      <c r="DB37" s="456"/>
      <c r="DC37" s="456"/>
      <c r="DD37" s="457"/>
      <c r="DE37" s="500" t="s">
        <v>564</v>
      </c>
      <c r="DF37" s="456"/>
      <c r="DG37" s="456"/>
      <c r="DH37" s="456"/>
      <c r="DI37" s="456"/>
      <c r="DJ37" s="457"/>
      <c r="DK37" s="500" t="s">
        <v>564</v>
      </c>
      <c r="DL37" s="456"/>
      <c r="DM37" s="456"/>
      <c r="DN37" s="456"/>
      <c r="DO37" s="456"/>
      <c r="DP37" s="457"/>
      <c r="DQ37" s="502" t="b">
        <v>0</v>
      </c>
      <c r="DR37" s="456" t="str">
        <f t="shared" ref="DR37" si="54">IF(DQ37=TRUE,"######","")</f>
        <v/>
      </c>
      <c r="DS37" s="456"/>
      <c r="DT37" s="456"/>
      <c r="DU37" s="456"/>
      <c r="DV37" s="457"/>
      <c r="DW37" s="426" t="str">
        <f t="shared" ref="DW37" si="55">IFERROR(MID(CA37,1,1),"")</f>
        <v>-</v>
      </c>
      <c r="DX37" s="173" t="str">
        <f t="shared" ref="DX37" si="56">IFERROR(MID(CG37,1,1),"")</f>
        <v>-</v>
      </c>
      <c r="DY37" s="174" t="str">
        <f t="shared" ref="DY37" si="57">IFERROR(IF(AND(AB37="CV6",AC37="H",DW37="F",DX37="P"),"SiPM",""),"")</f>
        <v/>
      </c>
      <c r="DZ37" s="107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6"/>
    </row>
    <row r="38" spans="2:166" ht="14.4" customHeight="1" thickBot="1" x14ac:dyDescent="0.7">
      <c r="B38" s="383"/>
      <c r="C38" s="384"/>
      <c r="D38" s="384"/>
      <c r="E38" s="384"/>
      <c r="F38" s="384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90"/>
      <c r="AB38" s="512" t="str">
        <f t="shared" ref="AB38:AB56" si="58">MID(BC37,1,1)</f>
        <v/>
      </c>
      <c r="AC38" s="512" t="str">
        <f t="shared" ref="AC38:AC56" si="59">IFERROR(MID(BI37,1,1),"")</f>
        <v/>
      </c>
      <c r="AD38" s="513" t="str">
        <f t="shared" ref="AD38" si="60">AB37&amp;AC37&amp;AD37&amp;AB38&amp;AC38&amp;$AI$12&amp;BU37</f>
        <v>W3-</v>
      </c>
      <c r="AE38" s="468"/>
      <c r="AF38" s="469"/>
      <c r="AG38" s="469"/>
      <c r="AH38" s="470"/>
      <c r="AI38" s="470"/>
      <c r="AJ38" s="471"/>
      <c r="AK38" s="484"/>
      <c r="AL38" s="484"/>
      <c r="AM38" s="484"/>
      <c r="AN38" s="484"/>
      <c r="AO38" s="484"/>
      <c r="AP38" s="485"/>
      <c r="AQ38" s="484"/>
      <c r="AR38" s="484"/>
      <c r="AS38" s="484"/>
      <c r="AT38" s="484"/>
      <c r="AU38" s="484"/>
      <c r="AV38" s="485"/>
      <c r="AW38" s="484"/>
      <c r="AX38" s="484"/>
      <c r="AY38" s="484"/>
      <c r="AZ38" s="484"/>
      <c r="BA38" s="484"/>
      <c r="BB38" s="485"/>
      <c r="BC38" s="484"/>
      <c r="BD38" s="484"/>
      <c r="BE38" s="484"/>
      <c r="BF38" s="484"/>
      <c r="BG38" s="484"/>
      <c r="BH38" s="485"/>
      <c r="BI38" s="484"/>
      <c r="BJ38" s="484"/>
      <c r="BK38" s="484"/>
      <c r="BL38" s="484"/>
      <c r="BM38" s="484"/>
      <c r="BN38" s="485"/>
      <c r="BO38" s="493"/>
      <c r="BP38" s="493"/>
      <c r="BQ38" s="493"/>
      <c r="BR38" s="493"/>
      <c r="BS38" s="493"/>
      <c r="BT38" s="494"/>
      <c r="BU38" s="505"/>
      <c r="BV38" s="484"/>
      <c r="BW38" s="484"/>
      <c r="BX38" s="484"/>
      <c r="BY38" s="484"/>
      <c r="BZ38" s="485"/>
      <c r="CA38" s="501"/>
      <c r="CB38" s="458"/>
      <c r="CC38" s="458"/>
      <c r="CD38" s="458"/>
      <c r="CE38" s="458"/>
      <c r="CF38" s="459"/>
      <c r="CG38" s="501"/>
      <c r="CH38" s="458"/>
      <c r="CI38" s="458"/>
      <c r="CJ38" s="458"/>
      <c r="CK38" s="458"/>
      <c r="CL38" s="459"/>
      <c r="CM38" s="501"/>
      <c r="CN38" s="458"/>
      <c r="CO38" s="458"/>
      <c r="CP38" s="458"/>
      <c r="CQ38" s="458"/>
      <c r="CR38" s="459"/>
      <c r="CS38" s="501"/>
      <c r="CT38" s="458"/>
      <c r="CU38" s="458"/>
      <c r="CV38" s="458"/>
      <c r="CW38" s="458"/>
      <c r="CX38" s="459"/>
      <c r="CY38" s="501"/>
      <c r="CZ38" s="458"/>
      <c r="DA38" s="458"/>
      <c r="DB38" s="458"/>
      <c r="DC38" s="458"/>
      <c r="DD38" s="459"/>
      <c r="DE38" s="501"/>
      <c r="DF38" s="458"/>
      <c r="DG38" s="458"/>
      <c r="DH38" s="458"/>
      <c r="DI38" s="458"/>
      <c r="DJ38" s="459"/>
      <c r="DK38" s="501"/>
      <c r="DL38" s="458"/>
      <c r="DM38" s="458"/>
      <c r="DN38" s="458"/>
      <c r="DO38" s="458"/>
      <c r="DP38" s="459"/>
      <c r="DQ38" s="503"/>
      <c r="DR38" s="458"/>
      <c r="DS38" s="458"/>
      <c r="DT38" s="458"/>
      <c r="DU38" s="458"/>
      <c r="DV38" s="459"/>
      <c r="DW38" s="426"/>
      <c r="DX38" s="173"/>
      <c r="DY38" s="174"/>
      <c r="DZ38" s="107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6"/>
    </row>
    <row r="39" spans="2:166" ht="14.4" customHeight="1" thickTop="1" x14ac:dyDescent="0.65">
      <c r="B39" s="379"/>
      <c r="C39" s="380"/>
      <c r="D39" s="380"/>
      <c r="E39" s="380"/>
      <c r="F39" s="380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6"/>
      <c r="AB39" s="512" t="str">
        <f t="shared" ref="AB39:AB56" si="61">MID(AK39,1,1)</f>
        <v/>
      </c>
      <c r="AC39" s="512" t="str" cm="1">
        <f t="array" ref="AC39">IFERROR(_xlfn.IFS(AQ39="Mini Breaker","MB",AQ39="GoPact","GP",AQ39="EZC 100","EZ1",AQ39="EZC 250","EZ2",AQ39="CVS/NSX 250","CV2",AQ39="CVS/NSX/EZC 630","CV6",AQ39="NS 1600","NS1",AQ39="NW/MTZ 4000","NW4",AQ39="Conmutador PEQ.","CP",AQ39="Conmutador MED.","CM",AQ39="Conmutador GRA.","CG",AQ39="Contactores","CK"),"")</f>
        <v/>
      </c>
      <c r="AD39" s="513" t="str" cm="1">
        <f t="array" ref="AD39">IFERROR(_xlfn.IFS(AW39="Horizontal","H",AW39="Horizontal COMPUESTA","HC",AW39="Vertical","V",AW39="Vertical Compacta","VC",AW39="Vertical Extendida","VE"),"")</f>
        <v/>
      </c>
      <c r="AE39" s="472" t="str">
        <f t="shared" ref="AE39" si="62">IF(AH37&lt;&gt;"","+C","")</f>
        <v/>
      </c>
      <c r="AF39" s="473"/>
      <c r="AG39" s="473"/>
      <c r="AH39" s="474"/>
      <c r="AI39" s="474"/>
      <c r="AJ39" s="475"/>
      <c r="AK39" s="413"/>
      <c r="AL39" s="413"/>
      <c r="AM39" s="413"/>
      <c r="AN39" s="413"/>
      <c r="AO39" s="413"/>
      <c r="AP39" s="490"/>
      <c r="AQ39" s="486"/>
      <c r="AR39" s="486"/>
      <c r="AS39" s="486"/>
      <c r="AT39" s="486"/>
      <c r="AU39" s="486"/>
      <c r="AV39" s="487"/>
      <c r="AW39" s="486"/>
      <c r="AX39" s="486"/>
      <c r="AY39" s="486"/>
      <c r="AZ39" s="486"/>
      <c r="BA39" s="486"/>
      <c r="BB39" s="487"/>
      <c r="BC39" s="486"/>
      <c r="BD39" s="486"/>
      <c r="BE39" s="486"/>
      <c r="BF39" s="486"/>
      <c r="BG39" s="486"/>
      <c r="BH39" s="487"/>
      <c r="BI39" s="486"/>
      <c r="BJ39" s="486"/>
      <c r="BK39" s="486"/>
      <c r="BL39" s="486"/>
      <c r="BM39" s="486"/>
      <c r="BN39" s="487"/>
      <c r="BO39" s="495"/>
      <c r="BP39" s="495"/>
      <c r="BQ39" s="495"/>
      <c r="BR39" s="495"/>
      <c r="BS39" s="495"/>
      <c r="BT39" s="496"/>
      <c r="BU39" s="506" t="s">
        <v>564</v>
      </c>
      <c r="BV39" s="486"/>
      <c r="BW39" s="486"/>
      <c r="BX39" s="486"/>
      <c r="BY39" s="486"/>
      <c r="BZ39" s="487"/>
      <c r="CA39" s="507" t="s">
        <v>564</v>
      </c>
      <c r="CB39" s="460"/>
      <c r="CC39" s="460"/>
      <c r="CD39" s="460"/>
      <c r="CE39" s="460"/>
      <c r="CF39" s="461"/>
      <c r="CG39" s="507" t="s">
        <v>564</v>
      </c>
      <c r="CH39" s="460"/>
      <c r="CI39" s="460"/>
      <c r="CJ39" s="460"/>
      <c r="CK39" s="460"/>
      <c r="CL39" s="461"/>
      <c r="CM39" s="507" t="s">
        <v>564</v>
      </c>
      <c r="CN39" s="460"/>
      <c r="CO39" s="460"/>
      <c r="CP39" s="460"/>
      <c r="CQ39" s="460"/>
      <c r="CR39" s="461"/>
      <c r="CS39" s="507" t="str">
        <f>IFERROR(VLOOKUP(AD40,BD!AD24:AX67,19,FALSE),"")</f>
        <v/>
      </c>
      <c r="CT39" s="460"/>
      <c r="CU39" s="460"/>
      <c r="CV39" s="460"/>
      <c r="CW39" s="460"/>
      <c r="CX39" s="461"/>
      <c r="CY39" s="507" t="str">
        <f>IFERROR(VLOOKUP(AD40,BD!AD24:AX67,20,FALSE),"")</f>
        <v/>
      </c>
      <c r="CZ39" s="460"/>
      <c r="DA39" s="460"/>
      <c r="DB39" s="460"/>
      <c r="DC39" s="460"/>
      <c r="DD39" s="461"/>
      <c r="DE39" s="507" t="s">
        <v>564</v>
      </c>
      <c r="DF39" s="460"/>
      <c r="DG39" s="460"/>
      <c r="DH39" s="460"/>
      <c r="DI39" s="460"/>
      <c r="DJ39" s="461"/>
      <c r="DK39" s="507" t="s">
        <v>564</v>
      </c>
      <c r="DL39" s="460"/>
      <c r="DM39" s="460"/>
      <c r="DN39" s="460"/>
      <c r="DO39" s="460"/>
      <c r="DP39" s="461"/>
      <c r="DQ39" s="508" t="b">
        <v>0</v>
      </c>
      <c r="DR39" s="460" t="str">
        <f t="shared" ref="DR39" si="63">IF(DQ39=TRUE,"######","")</f>
        <v/>
      </c>
      <c r="DS39" s="460"/>
      <c r="DT39" s="460"/>
      <c r="DU39" s="460"/>
      <c r="DV39" s="461"/>
      <c r="DW39" s="426" t="str">
        <f t="shared" ref="DW39" si="64">IFERROR(MID(CA39,1,1),"")</f>
        <v>-</v>
      </c>
      <c r="DX39" s="173" t="str">
        <f t="shared" ref="DX39" si="65">IFERROR(MID(CG39,1,1),"")</f>
        <v>-</v>
      </c>
      <c r="DY39" s="174" t="str">
        <f t="shared" ref="DY39" si="66">IFERROR(IF(AND(AB39="CV6",AC39="H",DW39="F",DX39="P"),"SiPM",""),"")</f>
        <v/>
      </c>
      <c r="DZ39" s="107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5"/>
      <c r="FB39" s="105"/>
      <c r="FC39" s="105"/>
      <c r="FD39" s="105"/>
      <c r="FE39" s="105"/>
      <c r="FF39" s="105"/>
      <c r="FG39" s="105"/>
      <c r="FH39" s="105"/>
      <c r="FI39" s="105"/>
      <c r="FJ39" s="106"/>
    </row>
    <row r="40" spans="2:166" ht="14.4" customHeight="1" x14ac:dyDescent="0.65">
      <c r="B40" s="381"/>
      <c r="C40" s="382"/>
      <c r="D40" s="382"/>
      <c r="E40" s="382"/>
      <c r="F40" s="382"/>
      <c r="G40" s="387"/>
      <c r="H40" s="387"/>
      <c r="I40" s="387"/>
      <c r="J40" s="387"/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V40" s="387"/>
      <c r="W40" s="387"/>
      <c r="X40" s="387"/>
      <c r="Y40" s="387"/>
      <c r="Z40" s="387"/>
      <c r="AA40" s="388"/>
      <c r="AB40" s="512" t="str">
        <f t="shared" ref="AB40:AB56" si="67">MID(BC39,1,1)</f>
        <v/>
      </c>
      <c r="AC40" s="512" t="str">
        <f t="shared" ref="AC40:AC56" si="68">IFERROR(MID(BI39,1,1),"")</f>
        <v/>
      </c>
      <c r="AD40" s="513" t="str">
        <f t="shared" ref="AD40" si="69">AB39&amp;AC39&amp;AD39&amp;AB40&amp;AC40&amp;$AI$12&amp;BU39</f>
        <v>W3-</v>
      </c>
      <c r="AE40" s="476"/>
      <c r="AF40" s="477"/>
      <c r="AG40" s="477"/>
      <c r="AH40" s="478"/>
      <c r="AI40" s="478"/>
      <c r="AJ40" s="479"/>
      <c r="AK40" s="488"/>
      <c r="AL40" s="488"/>
      <c r="AM40" s="488"/>
      <c r="AN40" s="488"/>
      <c r="AO40" s="488"/>
      <c r="AP40" s="489"/>
      <c r="AQ40" s="488"/>
      <c r="AR40" s="488"/>
      <c r="AS40" s="488"/>
      <c r="AT40" s="488"/>
      <c r="AU40" s="488"/>
      <c r="AV40" s="489"/>
      <c r="AW40" s="488"/>
      <c r="AX40" s="488"/>
      <c r="AY40" s="488"/>
      <c r="AZ40" s="488"/>
      <c r="BA40" s="488"/>
      <c r="BB40" s="489"/>
      <c r="BC40" s="488"/>
      <c r="BD40" s="488"/>
      <c r="BE40" s="488"/>
      <c r="BF40" s="488"/>
      <c r="BG40" s="488"/>
      <c r="BH40" s="489"/>
      <c r="BI40" s="488"/>
      <c r="BJ40" s="488"/>
      <c r="BK40" s="488"/>
      <c r="BL40" s="488"/>
      <c r="BM40" s="488"/>
      <c r="BN40" s="489"/>
      <c r="BO40" s="497"/>
      <c r="BP40" s="497"/>
      <c r="BQ40" s="497"/>
      <c r="BR40" s="497"/>
      <c r="BS40" s="497"/>
      <c r="BT40" s="498"/>
      <c r="BU40" s="509"/>
      <c r="BV40" s="488"/>
      <c r="BW40" s="488"/>
      <c r="BX40" s="488"/>
      <c r="BY40" s="488"/>
      <c r="BZ40" s="489"/>
      <c r="CA40" s="510"/>
      <c r="CB40" s="462"/>
      <c r="CC40" s="462"/>
      <c r="CD40" s="462"/>
      <c r="CE40" s="462"/>
      <c r="CF40" s="463"/>
      <c r="CG40" s="510"/>
      <c r="CH40" s="462"/>
      <c r="CI40" s="462"/>
      <c r="CJ40" s="462"/>
      <c r="CK40" s="462"/>
      <c r="CL40" s="463"/>
      <c r="CM40" s="510"/>
      <c r="CN40" s="462"/>
      <c r="CO40" s="462"/>
      <c r="CP40" s="462"/>
      <c r="CQ40" s="462"/>
      <c r="CR40" s="463"/>
      <c r="CS40" s="510"/>
      <c r="CT40" s="462"/>
      <c r="CU40" s="462"/>
      <c r="CV40" s="462"/>
      <c r="CW40" s="462"/>
      <c r="CX40" s="463"/>
      <c r="CY40" s="510"/>
      <c r="CZ40" s="462"/>
      <c r="DA40" s="462"/>
      <c r="DB40" s="462"/>
      <c r="DC40" s="462"/>
      <c r="DD40" s="463"/>
      <c r="DE40" s="510"/>
      <c r="DF40" s="462"/>
      <c r="DG40" s="462"/>
      <c r="DH40" s="462"/>
      <c r="DI40" s="462"/>
      <c r="DJ40" s="463"/>
      <c r="DK40" s="510"/>
      <c r="DL40" s="462"/>
      <c r="DM40" s="462"/>
      <c r="DN40" s="462"/>
      <c r="DO40" s="462"/>
      <c r="DP40" s="463"/>
      <c r="DQ40" s="511"/>
      <c r="DR40" s="462"/>
      <c r="DS40" s="462"/>
      <c r="DT40" s="462"/>
      <c r="DU40" s="462"/>
      <c r="DV40" s="463"/>
      <c r="DW40" s="426"/>
      <c r="DX40" s="173"/>
      <c r="DY40" s="174"/>
      <c r="DZ40" s="107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6"/>
    </row>
    <row r="41" spans="2:166" ht="14.4" customHeight="1" thickBot="1" x14ac:dyDescent="0.7">
      <c r="B41" s="383"/>
      <c r="C41" s="384"/>
      <c r="D41" s="384"/>
      <c r="E41" s="384"/>
      <c r="F41" s="384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90"/>
      <c r="AB41" s="512" t="str">
        <f t="shared" ref="AB41:AB56" si="70">MID(AK41,1,1)</f>
        <v/>
      </c>
      <c r="AC41" s="512" t="str" cm="1">
        <f t="array" ref="AC41">IFERROR(_xlfn.IFS(AQ41="Mini Breaker","MB",AQ41="GoPact","GP",AQ41="EZC 100","EZ1",AQ41="EZC 250","EZ2",AQ41="CVS/NSX 250","CV2",AQ41="CVS/NSX/EZC 630","CV6",AQ41="NS 1600","NS1",AQ41="NW/MTZ 4000","NW4",AQ41="Conmutador PEQ.","CP",AQ41="Conmutador MED.","CM",AQ41="Conmutador GRA.","CG",AQ41="Contactores","CK"),"")</f>
        <v/>
      </c>
      <c r="AD41" s="513" t="str" cm="1">
        <f t="array" ref="AD41">IFERROR(_xlfn.IFS(AW41="Horizontal","H",AW41="Horizontal COMPUESTA","HC",AW41="Vertical","V",AW41="Vertical Compacta","VC",AW41="Vertical Extendida","VE"),"")</f>
        <v/>
      </c>
      <c r="AE41" s="464" t="str">
        <f t="shared" ref="AE41" si="71">IF(AH39&lt;&gt;"","+C","")</f>
        <v/>
      </c>
      <c r="AF41" s="465"/>
      <c r="AG41" s="465"/>
      <c r="AH41" s="466"/>
      <c r="AI41" s="466"/>
      <c r="AJ41" s="467"/>
      <c r="AK41" s="480"/>
      <c r="AL41" s="480"/>
      <c r="AM41" s="480"/>
      <c r="AN41" s="480"/>
      <c r="AO41" s="480"/>
      <c r="AP41" s="481"/>
      <c r="AQ41" s="482"/>
      <c r="AR41" s="482"/>
      <c r="AS41" s="482"/>
      <c r="AT41" s="482"/>
      <c r="AU41" s="482"/>
      <c r="AV41" s="483"/>
      <c r="AW41" s="482"/>
      <c r="AX41" s="482"/>
      <c r="AY41" s="482"/>
      <c r="AZ41" s="482"/>
      <c r="BA41" s="482"/>
      <c r="BB41" s="483"/>
      <c r="BC41" s="482"/>
      <c r="BD41" s="482"/>
      <c r="BE41" s="482"/>
      <c r="BF41" s="482"/>
      <c r="BG41" s="482"/>
      <c r="BH41" s="483"/>
      <c r="BI41" s="482"/>
      <c r="BJ41" s="482"/>
      <c r="BK41" s="482"/>
      <c r="BL41" s="482"/>
      <c r="BM41" s="482"/>
      <c r="BN41" s="483"/>
      <c r="BO41" s="491"/>
      <c r="BP41" s="491"/>
      <c r="BQ41" s="491"/>
      <c r="BR41" s="491"/>
      <c r="BS41" s="491"/>
      <c r="BT41" s="492"/>
      <c r="BU41" s="504" t="s">
        <v>564</v>
      </c>
      <c r="BV41" s="482"/>
      <c r="BW41" s="482"/>
      <c r="BX41" s="482"/>
      <c r="BY41" s="482"/>
      <c r="BZ41" s="483"/>
      <c r="CA41" s="500" t="s">
        <v>564</v>
      </c>
      <c r="CB41" s="456"/>
      <c r="CC41" s="456"/>
      <c r="CD41" s="456"/>
      <c r="CE41" s="456"/>
      <c r="CF41" s="457"/>
      <c r="CG41" s="500" t="s">
        <v>564</v>
      </c>
      <c r="CH41" s="456"/>
      <c r="CI41" s="456"/>
      <c r="CJ41" s="456"/>
      <c r="CK41" s="456"/>
      <c r="CL41" s="457"/>
      <c r="CM41" s="500" t="s">
        <v>564</v>
      </c>
      <c r="CN41" s="456"/>
      <c r="CO41" s="456"/>
      <c r="CP41" s="456"/>
      <c r="CQ41" s="456"/>
      <c r="CR41" s="457"/>
      <c r="CS41" s="500" t="str">
        <f>IFERROR(VLOOKUP(AD42,BD!AD26:AX69,19,FALSE),"")</f>
        <v/>
      </c>
      <c r="CT41" s="456"/>
      <c r="CU41" s="456"/>
      <c r="CV41" s="456"/>
      <c r="CW41" s="456"/>
      <c r="CX41" s="457"/>
      <c r="CY41" s="500" t="str">
        <f>IFERROR(VLOOKUP(AD42,BD!AD26:AX69,20,FALSE),"")</f>
        <v/>
      </c>
      <c r="CZ41" s="456"/>
      <c r="DA41" s="456"/>
      <c r="DB41" s="456"/>
      <c r="DC41" s="456"/>
      <c r="DD41" s="457"/>
      <c r="DE41" s="500" t="s">
        <v>564</v>
      </c>
      <c r="DF41" s="456"/>
      <c r="DG41" s="456"/>
      <c r="DH41" s="456"/>
      <c r="DI41" s="456"/>
      <c r="DJ41" s="457"/>
      <c r="DK41" s="500" t="s">
        <v>564</v>
      </c>
      <c r="DL41" s="456"/>
      <c r="DM41" s="456"/>
      <c r="DN41" s="456"/>
      <c r="DO41" s="456"/>
      <c r="DP41" s="457"/>
      <c r="DQ41" s="502" t="b">
        <v>0</v>
      </c>
      <c r="DR41" s="456" t="str">
        <f t="shared" ref="DR41" si="72">IF(DQ41=TRUE,"######","")</f>
        <v/>
      </c>
      <c r="DS41" s="456"/>
      <c r="DT41" s="456"/>
      <c r="DU41" s="456"/>
      <c r="DV41" s="457"/>
      <c r="DW41" s="426" t="str">
        <f t="shared" ref="DW41" si="73">IFERROR(MID(CA41,1,1),"")</f>
        <v>-</v>
      </c>
      <c r="DX41" s="173" t="str">
        <f t="shared" ref="DX41" si="74">IFERROR(MID(CG41,1,1),"")</f>
        <v>-</v>
      </c>
      <c r="DY41" s="174" t="str">
        <f t="shared" ref="DY41" si="75">IFERROR(IF(AND(AB41="CV6",AC41="H",DW41="F",DX41="P"),"SiPM",""),"")</f>
        <v/>
      </c>
      <c r="DZ41" s="107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6"/>
    </row>
    <row r="42" spans="2:166" ht="14.4" customHeight="1" thickTop="1" x14ac:dyDescent="0.65">
      <c r="B42" s="124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2"/>
      <c r="AB42" s="512" t="str">
        <f t="shared" ref="AB42:AB56" si="76">MID(BC41,1,1)</f>
        <v/>
      </c>
      <c r="AC42" s="512" t="str">
        <f t="shared" ref="AC42:AC56" si="77">IFERROR(MID(BI41,1,1),"")</f>
        <v/>
      </c>
      <c r="AD42" s="513" t="str">
        <f t="shared" ref="AD42" si="78">AB41&amp;AC41&amp;AD41&amp;AB42&amp;AC42&amp;$AI$12&amp;BU41</f>
        <v>W3-</v>
      </c>
      <c r="AE42" s="468"/>
      <c r="AF42" s="469"/>
      <c r="AG42" s="469"/>
      <c r="AH42" s="470"/>
      <c r="AI42" s="470"/>
      <c r="AJ42" s="471"/>
      <c r="AK42" s="484"/>
      <c r="AL42" s="484"/>
      <c r="AM42" s="484"/>
      <c r="AN42" s="484"/>
      <c r="AO42" s="484"/>
      <c r="AP42" s="485"/>
      <c r="AQ42" s="484"/>
      <c r="AR42" s="484"/>
      <c r="AS42" s="484"/>
      <c r="AT42" s="484"/>
      <c r="AU42" s="484"/>
      <c r="AV42" s="485"/>
      <c r="AW42" s="484"/>
      <c r="AX42" s="484"/>
      <c r="AY42" s="484"/>
      <c r="AZ42" s="484"/>
      <c r="BA42" s="484"/>
      <c r="BB42" s="485"/>
      <c r="BC42" s="484"/>
      <c r="BD42" s="484"/>
      <c r="BE42" s="484"/>
      <c r="BF42" s="484"/>
      <c r="BG42" s="484"/>
      <c r="BH42" s="485"/>
      <c r="BI42" s="484"/>
      <c r="BJ42" s="484"/>
      <c r="BK42" s="484"/>
      <c r="BL42" s="484"/>
      <c r="BM42" s="484"/>
      <c r="BN42" s="485"/>
      <c r="BO42" s="493"/>
      <c r="BP42" s="493"/>
      <c r="BQ42" s="493"/>
      <c r="BR42" s="493"/>
      <c r="BS42" s="493"/>
      <c r="BT42" s="494"/>
      <c r="BU42" s="505"/>
      <c r="BV42" s="484"/>
      <c r="BW42" s="484"/>
      <c r="BX42" s="484"/>
      <c r="BY42" s="484"/>
      <c r="BZ42" s="485"/>
      <c r="CA42" s="501"/>
      <c r="CB42" s="458"/>
      <c r="CC42" s="458"/>
      <c r="CD42" s="458"/>
      <c r="CE42" s="458"/>
      <c r="CF42" s="459"/>
      <c r="CG42" s="501"/>
      <c r="CH42" s="458"/>
      <c r="CI42" s="458"/>
      <c r="CJ42" s="458"/>
      <c r="CK42" s="458"/>
      <c r="CL42" s="459"/>
      <c r="CM42" s="501"/>
      <c r="CN42" s="458"/>
      <c r="CO42" s="458"/>
      <c r="CP42" s="458"/>
      <c r="CQ42" s="458"/>
      <c r="CR42" s="459"/>
      <c r="CS42" s="501"/>
      <c r="CT42" s="458"/>
      <c r="CU42" s="458"/>
      <c r="CV42" s="458"/>
      <c r="CW42" s="458"/>
      <c r="CX42" s="459"/>
      <c r="CY42" s="501"/>
      <c r="CZ42" s="458"/>
      <c r="DA42" s="458"/>
      <c r="DB42" s="458"/>
      <c r="DC42" s="458"/>
      <c r="DD42" s="459"/>
      <c r="DE42" s="501"/>
      <c r="DF42" s="458"/>
      <c r="DG42" s="458"/>
      <c r="DH42" s="458"/>
      <c r="DI42" s="458"/>
      <c r="DJ42" s="459"/>
      <c r="DK42" s="501"/>
      <c r="DL42" s="458"/>
      <c r="DM42" s="458"/>
      <c r="DN42" s="458"/>
      <c r="DO42" s="458"/>
      <c r="DP42" s="459"/>
      <c r="DQ42" s="503"/>
      <c r="DR42" s="458"/>
      <c r="DS42" s="458"/>
      <c r="DT42" s="458"/>
      <c r="DU42" s="458"/>
      <c r="DV42" s="459"/>
      <c r="DW42" s="426"/>
      <c r="DX42" s="173"/>
      <c r="DY42" s="174"/>
      <c r="DZ42" s="107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78"/>
      <c r="FC42" s="78"/>
      <c r="FD42" s="78"/>
      <c r="FE42" s="78"/>
      <c r="FF42" s="78"/>
      <c r="FG42" s="78"/>
      <c r="FH42" s="79"/>
      <c r="FI42" s="79"/>
      <c r="FJ42" s="80"/>
    </row>
    <row r="43" spans="2:166" ht="14.4" customHeight="1" x14ac:dyDescent="0.65">
      <c r="B43" s="126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3"/>
      <c r="AB43" s="512" t="str">
        <f t="shared" ref="AB43:AB56" si="79">MID(AK43,1,1)</f>
        <v/>
      </c>
      <c r="AC43" s="512" t="str" cm="1">
        <f t="array" ref="AC43">IFERROR(_xlfn.IFS(AQ43="Mini Breaker","MB",AQ43="GoPact","GP",AQ43="EZC 100","EZ1",AQ43="EZC 250","EZ2",AQ43="CVS/NSX 250","CV2",AQ43="CVS/NSX/EZC 630","CV6",AQ43="NS 1600","NS1",AQ43="NW/MTZ 4000","NW4",AQ43="Conmutador PEQ.","CP",AQ43="Conmutador MED.","CM",AQ43="Conmutador GRA.","CG",AQ43="Contactores","CK"),"")</f>
        <v/>
      </c>
      <c r="AD43" s="513" t="str" cm="1">
        <f t="array" ref="AD43">IFERROR(_xlfn.IFS(AW43="Horizontal","H",AW43="Horizontal COMPUESTA","HC",AW43="Vertical","V",AW43="Vertical Compacta","VC",AW43="Vertical Extendida","VE"),"")</f>
        <v/>
      </c>
      <c r="AE43" s="472" t="str">
        <f t="shared" ref="AE43" si="80">IF(AH41&lt;&gt;"","+C","")</f>
        <v/>
      </c>
      <c r="AF43" s="473"/>
      <c r="AG43" s="473"/>
      <c r="AH43" s="474"/>
      <c r="AI43" s="474"/>
      <c r="AJ43" s="475"/>
      <c r="AK43" s="413"/>
      <c r="AL43" s="413"/>
      <c r="AM43" s="413"/>
      <c r="AN43" s="413"/>
      <c r="AO43" s="413"/>
      <c r="AP43" s="490"/>
      <c r="AQ43" s="486"/>
      <c r="AR43" s="486"/>
      <c r="AS43" s="486"/>
      <c r="AT43" s="486"/>
      <c r="AU43" s="486"/>
      <c r="AV43" s="487"/>
      <c r="AW43" s="486"/>
      <c r="AX43" s="486"/>
      <c r="AY43" s="486"/>
      <c r="AZ43" s="486"/>
      <c r="BA43" s="486"/>
      <c r="BB43" s="487"/>
      <c r="BC43" s="486"/>
      <c r="BD43" s="486"/>
      <c r="BE43" s="486"/>
      <c r="BF43" s="486"/>
      <c r="BG43" s="486"/>
      <c r="BH43" s="487"/>
      <c r="BI43" s="486"/>
      <c r="BJ43" s="486"/>
      <c r="BK43" s="486"/>
      <c r="BL43" s="486"/>
      <c r="BM43" s="486"/>
      <c r="BN43" s="487"/>
      <c r="BO43" s="495"/>
      <c r="BP43" s="495"/>
      <c r="BQ43" s="495"/>
      <c r="BR43" s="495"/>
      <c r="BS43" s="495"/>
      <c r="BT43" s="496"/>
      <c r="BU43" s="506" t="s">
        <v>564</v>
      </c>
      <c r="BV43" s="486"/>
      <c r="BW43" s="486"/>
      <c r="BX43" s="486"/>
      <c r="BY43" s="486"/>
      <c r="BZ43" s="487"/>
      <c r="CA43" s="507" t="s">
        <v>564</v>
      </c>
      <c r="CB43" s="460"/>
      <c r="CC43" s="460"/>
      <c r="CD43" s="460"/>
      <c r="CE43" s="460"/>
      <c r="CF43" s="461"/>
      <c r="CG43" s="507" t="s">
        <v>564</v>
      </c>
      <c r="CH43" s="460"/>
      <c r="CI43" s="460"/>
      <c r="CJ43" s="460"/>
      <c r="CK43" s="460"/>
      <c r="CL43" s="461"/>
      <c r="CM43" s="507" t="s">
        <v>564</v>
      </c>
      <c r="CN43" s="460"/>
      <c r="CO43" s="460"/>
      <c r="CP43" s="460"/>
      <c r="CQ43" s="460"/>
      <c r="CR43" s="461"/>
      <c r="CS43" s="507" t="str">
        <f>IFERROR(VLOOKUP(AD44,BD!AD28:AX71,19,FALSE),"")</f>
        <v/>
      </c>
      <c r="CT43" s="460"/>
      <c r="CU43" s="460"/>
      <c r="CV43" s="460"/>
      <c r="CW43" s="460"/>
      <c r="CX43" s="461"/>
      <c r="CY43" s="507" t="str">
        <f>IFERROR(VLOOKUP(AD44,BD!AD28:AX71,20,FALSE),"")</f>
        <v/>
      </c>
      <c r="CZ43" s="460"/>
      <c r="DA43" s="460"/>
      <c r="DB43" s="460"/>
      <c r="DC43" s="460"/>
      <c r="DD43" s="461"/>
      <c r="DE43" s="507" t="s">
        <v>564</v>
      </c>
      <c r="DF43" s="460"/>
      <c r="DG43" s="460"/>
      <c r="DH43" s="460"/>
      <c r="DI43" s="460"/>
      <c r="DJ43" s="461"/>
      <c r="DK43" s="507" t="s">
        <v>564</v>
      </c>
      <c r="DL43" s="460"/>
      <c r="DM43" s="460"/>
      <c r="DN43" s="460"/>
      <c r="DO43" s="460"/>
      <c r="DP43" s="461"/>
      <c r="DQ43" s="508" t="b">
        <v>0</v>
      </c>
      <c r="DR43" s="460" t="str">
        <f t="shared" ref="DR43" si="81">IF(DQ43=TRUE,"######","")</f>
        <v/>
      </c>
      <c r="DS43" s="460"/>
      <c r="DT43" s="460"/>
      <c r="DU43" s="460"/>
      <c r="DV43" s="461"/>
      <c r="DW43" s="426" t="str">
        <f t="shared" ref="DW43" si="82">IFERROR(MID(CA43,1,1),"")</f>
        <v>-</v>
      </c>
      <c r="DX43" s="173" t="str">
        <f t="shared" ref="DX43" si="83">IFERROR(MID(CG43,1,1),"")</f>
        <v>-</v>
      </c>
      <c r="DY43" s="174" t="str">
        <f t="shared" ref="DY43" si="84">IFERROR(IF(AND(AB43="CV6",AC43="H",DW43="F",DX43="P"),"SiPM",""),"")</f>
        <v/>
      </c>
      <c r="DZ43" s="107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75"/>
      <c r="FC43" s="75"/>
      <c r="FD43" s="75"/>
      <c r="FE43" s="75"/>
      <c r="FF43" s="75"/>
      <c r="FG43" s="75"/>
      <c r="FH43" s="75"/>
      <c r="FI43" s="75"/>
      <c r="FJ43" s="74"/>
    </row>
    <row r="44" spans="2:166" ht="14.4" customHeight="1" x14ac:dyDescent="0.65">
      <c r="B44" s="126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3"/>
      <c r="AB44" s="512" t="str">
        <f t="shared" ref="AB44:AB56" si="85">MID(BC43,1,1)</f>
        <v/>
      </c>
      <c r="AC44" s="512" t="str">
        <f t="shared" ref="AC44:AC56" si="86">IFERROR(MID(BI43,1,1),"")</f>
        <v/>
      </c>
      <c r="AD44" s="513" t="str">
        <f t="shared" ref="AD44" si="87">AB43&amp;AC43&amp;AD43&amp;AB44&amp;AC44&amp;$AI$12&amp;BU43</f>
        <v>W3-</v>
      </c>
      <c r="AE44" s="476"/>
      <c r="AF44" s="477"/>
      <c r="AG44" s="477"/>
      <c r="AH44" s="478"/>
      <c r="AI44" s="478"/>
      <c r="AJ44" s="479"/>
      <c r="AK44" s="488"/>
      <c r="AL44" s="488"/>
      <c r="AM44" s="488"/>
      <c r="AN44" s="488"/>
      <c r="AO44" s="488"/>
      <c r="AP44" s="489"/>
      <c r="AQ44" s="488"/>
      <c r="AR44" s="488"/>
      <c r="AS44" s="488"/>
      <c r="AT44" s="488"/>
      <c r="AU44" s="488"/>
      <c r="AV44" s="489"/>
      <c r="AW44" s="488"/>
      <c r="AX44" s="488"/>
      <c r="AY44" s="488"/>
      <c r="AZ44" s="488"/>
      <c r="BA44" s="488"/>
      <c r="BB44" s="489"/>
      <c r="BC44" s="488"/>
      <c r="BD44" s="488"/>
      <c r="BE44" s="488"/>
      <c r="BF44" s="488"/>
      <c r="BG44" s="488"/>
      <c r="BH44" s="489"/>
      <c r="BI44" s="488"/>
      <c r="BJ44" s="488"/>
      <c r="BK44" s="488"/>
      <c r="BL44" s="488"/>
      <c r="BM44" s="488"/>
      <c r="BN44" s="489"/>
      <c r="BO44" s="497"/>
      <c r="BP44" s="497"/>
      <c r="BQ44" s="497"/>
      <c r="BR44" s="497"/>
      <c r="BS44" s="497"/>
      <c r="BT44" s="498"/>
      <c r="BU44" s="509"/>
      <c r="BV44" s="488"/>
      <c r="BW44" s="488"/>
      <c r="BX44" s="488"/>
      <c r="BY44" s="488"/>
      <c r="BZ44" s="489"/>
      <c r="CA44" s="510"/>
      <c r="CB44" s="462"/>
      <c r="CC44" s="462"/>
      <c r="CD44" s="462"/>
      <c r="CE44" s="462"/>
      <c r="CF44" s="463"/>
      <c r="CG44" s="510"/>
      <c r="CH44" s="462"/>
      <c r="CI44" s="462"/>
      <c r="CJ44" s="462"/>
      <c r="CK44" s="462"/>
      <c r="CL44" s="463"/>
      <c r="CM44" s="510"/>
      <c r="CN44" s="462"/>
      <c r="CO44" s="462"/>
      <c r="CP44" s="462"/>
      <c r="CQ44" s="462"/>
      <c r="CR44" s="463"/>
      <c r="CS44" s="510"/>
      <c r="CT44" s="462"/>
      <c r="CU44" s="462"/>
      <c r="CV44" s="462"/>
      <c r="CW44" s="462"/>
      <c r="CX44" s="463"/>
      <c r="CY44" s="510"/>
      <c r="CZ44" s="462"/>
      <c r="DA44" s="462"/>
      <c r="DB44" s="462"/>
      <c r="DC44" s="462"/>
      <c r="DD44" s="463"/>
      <c r="DE44" s="510"/>
      <c r="DF44" s="462"/>
      <c r="DG44" s="462"/>
      <c r="DH44" s="462"/>
      <c r="DI44" s="462"/>
      <c r="DJ44" s="463"/>
      <c r="DK44" s="510"/>
      <c r="DL44" s="462"/>
      <c r="DM44" s="462"/>
      <c r="DN44" s="462"/>
      <c r="DO44" s="462"/>
      <c r="DP44" s="463"/>
      <c r="DQ44" s="511"/>
      <c r="DR44" s="462"/>
      <c r="DS44" s="462"/>
      <c r="DT44" s="462"/>
      <c r="DU44" s="462"/>
      <c r="DV44" s="463"/>
      <c r="DW44" s="426"/>
      <c r="DX44" s="173"/>
      <c r="DY44" s="174"/>
      <c r="DZ44" s="107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75"/>
      <c r="FC44" s="75"/>
      <c r="FD44" s="75"/>
      <c r="FE44" s="75"/>
      <c r="FF44" s="75"/>
      <c r="FG44" s="75"/>
      <c r="FH44" s="75"/>
      <c r="FI44" s="75"/>
      <c r="FJ44" s="74"/>
    </row>
    <row r="45" spans="2:166" ht="14.4" customHeight="1" x14ac:dyDescent="0.65">
      <c r="B45" s="126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3"/>
      <c r="AB45" s="512" t="str">
        <f t="shared" ref="AB45:AB56" si="88">MID(AK45,1,1)</f>
        <v/>
      </c>
      <c r="AC45" s="512" t="str" cm="1">
        <f t="array" ref="AC45">IFERROR(_xlfn.IFS(AQ45="Mini Breaker","MB",AQ45="GoPact","GP",AQ45="EZC 100","EZ1",AQ45="EZC 250","EZ2",AQ45="CVS/NSX 250","CV2",AQ45="CVS/NSX/EZC 630","CV6",AQ45="NS 1600","NS1",AQ45="NW/MTZ 4000","NW4",AQ45="Conmutador PEQ.","CP",AQ45="Conmutador MED.","CM",AQ45="Conmutador GRA.","CG",AQ45="Contactores","CK"),"")</f>
        <v/>
      </c>
      <c r="AD45" s="513" t="str" cm="1">
        <f t="array" ref="AD45">IFERROR(_xlfn.IFS(AW45="Horizontal","H",AW45="Horizontal COMPUESTA","HC",AW45="Vertical","V",AW45="Vertical Compacta","VC",AW45="Vertical Extendida","VE"),"")</f>
        <v/>
      </c>
      <c r="AE45" s="464" t="str">
        <f t="shared" ref="AE45" si="89">IF(AH43&lt;&gt;"","+C","")</f>
        <v/>
      </c>
      <c r="AF45" s="465"/>
      <c r="AG45" s="465"/>
      <c r="AH45" s="466"/>
      <c r="AI45" s="466"/>
      <c r="AJ45" s="467"/>
      <c r="AK45" s="480"/>
      <c r="AL45" s="480"/>
      <c r="AM45" s="480"/>
      <c r="AN45" s="480"/>
      <c r="AO45" s="480"/>
      <c r="AP45" s="481"/>
      <c r="AQ45" s="482"/>
      <c r="AR45" s="482"/>
      <c r="AS45" s="482"/>
      <c r="AT45" s="482"/>
      <c r="AU45" s="482"/>
      <c r="AV45" s="483"/>
      <c r="AW45" s="482"/>
      <c r="AX45" s="482"/>
      <c r="AY45" s="482"/>
      <c r="AZ45" s="482"/>
      <c r="BA45" s="482"/>
      <c r="BB45" s="483"/>
      <c r="BC45" s="482"/>
      <c r="BD45" s="482"/>
      <c r="BE45" s="482"/>
      <c r="BF45" s="482"/>
      <c r="BG45" s="482"/>
      <c r="BH45" s="483"/>
      <c r="BI45" s="482"/>
      <c r="BJ45" s="482"/>
      <c r="BK45" s="482"/>
      <c r="BL45" s="482"/>
      <c r="BM45" s="482"/>
      <c r="BN45" s="483"/>
      <c r="BO45" s="491"/>
      <c r="BP45" s="491"/>
      <c r="BQ45" s="491"/>
      <c r="BR45" s="491"/>
      <c r="BS45" s="491"/>
      <c r="BT45" s="492"/>
      <c r="BU45" s="504" t="s">
        <v>564</v>
      </c>
      <c r="BV45" s="482"/>
      <c r="BW45" s="482"/>
      <c r="BX45" s="482"/>
      <c r="BY45" s="482"/>
      <c r="BZ45" s="483"/>
      <c r="CA45" s="500" t="s">
        <v>564</v>
      </c>
      <c r="CB45" s="456"/>
      <c r="CC45" s="456"/>
      <c r="CD45" s="456"/>
      <c r="CE45" s="456"/>
      <c r="CF45" s="457"/>
      <c r="CG45" s="500" t="s">
        <v>564</v>
      </c>
      <c r="CH45" s="456"/>
      <c r="CI45" s="456"/>
      <c r="CJ45" s="456"/>
      <c r="CK45" s="456"/>
      <c r="CL45" s="457"/>
      <c r="CM45" s="500" t="s">
        <v>564</v>
      </c>
      <c r="CN45" s="456"/>
      <c r="CO45" s="456"/>
      <c r="CP45" s="456"/>
      <c r="CQ45" s="456"/>
      <c r="CR45" s="457"/>
      <c r="CS45" s="500" t="str">
        <f>IFERROR(VLOOKUP(AD46,BD!AD30:AX73,19,FALSE),"")</f>
        <v/>
      </c>
      <c r="CT45" s="456"/>
      <c r="CU45" s="456"/>
      <c r="CV45" s="456"/>
      <c r="CW45" s="456"/>
      <c r="CX45" s="457"/>
      <c r="CY45" s="500" t="str">
        <f>IFERROR(VLOOKUP(AD46,BD!AD30:AX73,20,FALSE),"")</f>
        <v/>
      </c>
      <c r="CZ45" s="456"/>
      <c r="DA45" s="456"/>
      <c r="DB45" s="456"/>
      <c r="DC45" s="456"/>
      <c r="DD45" s="457"/>
      <c r="DE45" s="500" t="s">
        <v>564</v>
      </c>
      <c r="DF45" s="456"/>
      <c r="DG45" s="456"/>
      <c r="DH45" s="456"/>
      <c r="DI45" s="456"/>
      <c r="DJ45" s="457"/>
      <c r="DK45" s="500" t="s">
        <v>564</v>
      </c>
      <c r="DL45" s="456"/>
      <c r="DM45" s="456"/>
      <c r="DN45" s="456"/>
      <c r="DO45" s="456"/>
      <c r="DP45" s="457"/>
      <c r="DQ45" s="502" t="b">
        <v>0</v>
      </c>
      <c r="DR45" s="456" t="str">
        <f t="shared" ref="DR45" si="90">IF(DQ45=TRUE,"######","")</f>
        <v/>
      </c>
      <c r="DS45" s="456"/>
      <c r="DT45" s="456"/>
      <c r="DU45" s="456"/>
      <c r="DV45" s="457"/>
      <c r="DW45" s="426" t="str">
        <f t="shared" ref="DW45" si="91">IFERROR(MID(CA45,1,1),"")</f>
        <v>-</v>
      </c>
      <c r="DX45" s="173" t="str">
        <f t="shared" ref="DX45" si="92">IFERROR(MID(CG45,1,1),"")</f>
        <v>-</v>
      </c>
      <c r="DY45" s="174" t="str">
        <f t="shared" ref="DY45" si="93">IFERROR(IF(AND(AB45="CV6",AC45="H",DW45="F",DX45="P"),"SiPM",""),"")</f>
        <v/>
      </c>
      <c r="DZ45" s="107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78"/>
      <c r="FC45" s="78"/>
      <c r="FD45" s="78"/>
      <c r="FE45" s="78"/>
      <c r="FF45" s="78"/>
      <c r="FG45" s="78"/>
      <c r="FH45" s="79"/>
      <c r="FI45" s="79"/>
      <c r="FJ45" s="80"/>
    </row>
    <row r="46" spans="2:166" ht="14.4" customHeight="1" x14ac:dyDescent="0.65">
      <c r="B46" s="126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3"/>
      <c r="AB46" s="512" t="str">
        <f t="shared" ref="AB46:AB56" si="94">MID(BC45,1,1)</f>
        <v/>
      </c>
      <c r="AC46" s="512" t="str">
        <f t="shared" ref="AC46:AC56" si="95">IFERROR(MID(BI45,1,1),"")</f>
        <v/>
      </c>
      <c r="AD46" s="513" t="str">
        <f t="shared" ref="AD46" si="96">AB45&amp;AC45&amp;AD45&amp;AB46&amp;AC46&amp;$AI$12&amp;BU45</f>
        <v>W3-</v>
      </c>
      <c r="AE46" s="468"/>
      <c r="AF46" s="469"/>
      <c r="AG46" s="469"/>
      <c r="AH46" s="470"/>
      <c r="AI46" s="470"/>
      <c r="AJ46" s="471"/>
      <c r="AK46" s="484"/>
      <c r="AL46" s="484"/>
      <c r="AM46" s="484"/>
      <c r="AN46" s="484"/>
      <c r="AO46" s="484"/>
      <c r="AP46" s="485"/>
      <c r="AQ46" s="484"/>
      <c r="AR46" s="484"/>
      <c r="AS46" s="484"/>
      <c r="AT46" s="484"/>
      <c r="AU46" s="484"/>
      <c r="AV46" s="485"/>
      <c r="AW46" s="484"/>
      <c r="AX46" s="484"/>
      <c r="AY46" s="484"/>
      <c r="AZ46" s="484"/>
      <c r="BA46" s="484"/>
      <c r="BB46" s="485"/>
      <c r="BC46" s="484"/>
      <c r="BD46" s="484"/>
      <c r="BE46" s="484"/>
      <c r="BF46" s="484"/>
      <c r="BG46" s="484"/>
      <c r="BH46" s="485"/>
      <c r="BI46" s="484"/>
      <c r="BJ46" s="484"/>
      <c r="BK46" s="484"/>
      <c r="BL46" s="484"/>
      <c r="BM46" s="484"/>
      <c r="BN46" s="485"/>
      <c r="BO46" s="493"/>
      <c r="BP46" s="493"/>
      <c r="BQ46" s="493"/>
      <c r="BR46" s="493"/>
      <c r="BS46" s="493"/>
      <c r="BT46" s="494"/>
      <c r="BU46" s="505"/>
      <c r="BV46" s="484"/>
      <c r="BW46" s="484"/>
      <c r="BX46" s="484"/>
      <c r="BY46" s="484"/>
      <c r="BZ46" s="485"/>
      <c r="CA46" s="501"/>
      <c r="CB46" s="458"/>
      <c r="CC46" s="458"/>
      <c r="CD46" s="458"/>
      <c r="CE46" s="458"/>
      <c r="CF46" s="459"/>
      <c r="CG46" s="501"/>
      <c r="CH46" s="458"/>
      <c r="CI46" s="458"/>
      <c r="CJ46" s="458"/>
      <c r="CK46" s="458"/>
      <c r="CL46" s="459"/>
      <c r="CM46" s="501"/>
      <c r="CN46" s="458"/>
      <c r="CO46" s="458"/>
      <c r="CP46" s="458"/>
      <c r="CQ46" s="458"/>
      <c r="CR46" s="459"/>
      <c r="CS46" s="501"/>
      <c r="CT46" s="458"/>
      <c r="CU46" s="458"/>
      <c r="CV46" s="458"/>
      <c r="CW46" s="458"/>
      <c r="CX46" s="459"/>
      <c r="CY46" s="501"/>
      <c r="CZ46" s="458"/>
      <c r="DA46" s="458"/>
      <c r="DB46" s="458"/>
      <c r="DC46" s="458"/>
      <c r="DD46" s="459"/>
      <c r="DE46" s="501"/>
      <c r="DF46" s="458"/>
      <c r="DG46" s="458"/>
      <c r="DH46" s="458"/>
      <c r="DI46" s="458"/>
      <c r="DJ46" s="459"/>
      <c r="DK46" s="501"/>
      <c r="DL46" s="458"/>
      <c r="DM46" s="458"/>
      <c r="DN46" s="458"/>
      <c r="DO46" s="458"/>
      <c r="DP46" s="459"/>
      <c r="DQ46" s="503"/>
      <c r="DR46" s="458"/>
      <c r="DS46" s="458"/>
      <c r="DT46" s="458"/>
      <c r="DU46" s="458"/>
      <c r="DV46" s="459"/>
      <c r="DW46" s="426"/>
      <c r="DX46" s="173"/>
      <c r="DY46" s="174"/>
      <c r="DZ46" s="107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78"/>
      <c r="FC46" s="78"/>
      <c r="FD46" s="78"/>
      <c r="FE46" s="78"/>
      <c r="FF46" s="78"/>
      <c r="FG46" s="78"/>
      <c r="FH46" s="79"/>
      <c r="FI46" s="79"/>
      <c r="FJ46" s="80"/>
    </row>
    <row r="47" spans="2:166" ht="14.4" customHeight="1" x14ac:dyDescent="0.65">
      <c r="B47" s="126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3"/>
      <c r="AB47" s="512" t="str">
        <f t="shared" ref="AB47:AB56" si="97">MID(AK47,1,1)</f>
        <v/>
      </c>
      <c r="AC47" s="512" t="str" cm="1">
        <f t="array" ref="AC47">IFERROR(_xlfn.IFS(AQ47="Mini Breaker","MB",AQ47="GoPact","GP",AQ47="EZC 100","EZ1",AQ47="EZC 250","EZ2",AQ47="CVS/NSX 250","CV2",AQ47="CVS/NSX/EZC 630","CV6",AQ47="NS 1600","NS1",AQ47="NW/MTZ 4000","NW4",AQ47="Conmutador PEQ.","CP",AQ47="Conmutador MED.","CM",AQ47="Conmutador GRA.","CG",AQ47="Contactores","CK"),"")</f>
        <v/>
      </c>
      <c r="AD47" s="513" t="str" cm="1">
        <f t="array" ref="AD47">IFERROR(_xlfn.IFS(AW47="Horizontal","H",AW47="Horizontal COMPUESTA","HC",AW47="Vertical","V",AW47="Vertical Compacta","VC",AW47="Vertical Extendida","VE"),"")</f>
        <v/>
      </c>
      <c r="AE47" s="472" t="str">
        <f t="shared" ref="AE47" si="98">IF(AH45&lt;&gt;"","+C","")</f>
        <v/>
      </c>
      <c r="AF47" s="473"/>
      <c r="AG47" s="473"/>
      <c r="AH47" s="474"/>
      <c r="AI47" s="474"/>
      <c r="AJ47" s="475"/>
      <c r="AK47" s="413"/>
      <c r="AL47" s="413"/>
      <c r="AM47" s="413"/>
      <c r="AN47" s="413"/>
      <c r="AO47" s="413"/>
      <c r="AP47" s="490"/>
      <c r="AQ47" s="486"/>
      <c r="AR47" s="486"/>
      <c r="AS47" s="486"/>
      <c r="AT47" s="486"/>
      <c r="AU47" s="486"/>
      <c r="AV47" s="487"/>
      <c r="AW47" s="486"/>
      <c r="AX47" s="486"/>
      <c r="AY47" s="486"/>
      <c r="AZ47" s="486"/>
      <c r="BA47" s="486"/>
      <c r="BB47" s="487"/>
      <c r="BC47" s="486"/>
      <c r="BD47" s="486"/>
      <c r="BE47" s="486"/>
      <c r="BF47" s="486"/>
      <c r="BG47" s="486"/>
      <c r="BH47" s="487"/>
      <c r="BI47" s="486"/>
      <c r="BJ47" s="486"/>
      <c r="BK47" s="486"/>
      <c r="BL47" s="486"/>
      <c r="BM47" s="486"/>
      <c r="BN47" s="487"/>
      <c r="BO47" s="495"/>
      <c r="BP47" s="495"/>
      <c r="BQ47" s="495"/>
      <c r="BR47" s="495"/>
      <c r="BS47" s="495"/>
      <c r="BT47" s="496"/>
      <c r="BU47" s="506" t="s">
        <v>564</v>
      </c>
      <c r="BV47" s="486"/>
      <c r="BW47" s="486"/>
      <c r="BX47" s="486"/>
      <c r="BY47" s="486"/>
      <c r="BZ47" s="487"/>
      <c r="CA47" s="507" t="s">
        <v>564</v>
      </c>
      <c r="CB47" s="460"/>
      <c r="CC47" s="460"/>
      <c r="CD47" s="460"/>
      <c r="CE47" s="460"/>
      <c r="CF47" s="461"/>
      <c r="CG47" s="507" t="s">
        <v>564</v>
      </c>
      <c r="CH47" s="460"/>
      <c r="CI47" s="460"/>
      <c r="CJ47" s="460"/>
      <c r="CK47" s="460"/>
      <c r="CL47" s="461"/>
      <c r="CM47" s="507" t="s">
        <v>564</v>
      </c>
      <c r="CN47" s="460"/>
      <c r="CO47" s="460"/>
      <c r="CP47" s="460"/>
      <c r="CQ47" s="460"/>
      <c r="CR47" s="461"/>
      <c r="CS47" s="507" t="str">
        <f>IFERROR(VLOOKUP(AD48,BD!AD32:AX75,19,FALSE),"")</f>
        <v/>
      </c>
      <c r="CT47" s="460"/>
      <c r="CU47" s="460"/>
      <c r="CV47" s="460"/>
      <c r="CW47" s="460"/>
      <c r="CX47" s="461"/>
      <c r="CY47" s="507" t="str">
        <f>IFERROR(VLOOKUP(AD48,BD!AD32:AX75,20,FALSE),"")</f>
        <v/>
      </c>
      <c r="CZ47" s="460"/>
      <c r="DA47" s="460"/>
      <c r="DB47" s="460"/>
      <c r="DC47" s="460"/>
      <c r="DD47" s="461"/>
      <c r="DE47" s="507" t="s">
        <v>564</v>
      </c>
      <c r="DF47" s="460"/>
      <c r="DG47" s="460"/>
      <c r="DH47" s="460"/>
      <c r="DI47" s="460"/>
      <c r="DJ47" s="461"/>
      <c r="DK47" s="507" t="s">
        <v>564</v>
      </c>
      <c r="DL47" s="460"/>
      <c r="DM47" s="460"/>
      <c r="DN47" s="460"/>
      <c r="DO47" s="460"/>
      <c r="DP47" s="461"/>
      <c r="DQ47" s="508" t="b">
        <v>0</v>
      </c>
      <c r="DR47" s="460" t="str">
        <f t="shared" ref="DR47" si="99">IF(DQ47=TRUE,"######","")</f>
        <v/>
      </c>
      <c r="DS47" s="460"/>
      <c r="DT47" s="460"/>
      <c r="DU47" s="460"/>
      <c r="DV47" s="461"/>
      <c r="DW47" s="426" t="str">
        <f t="shared" ref="DW47" si="100">IFERROR(MID(CA47,1,1),"")</f>
        <v>-</v>
      </c>
      <c r="DX47" s="173" t="str">
        <f t="shared" ref="DX47" si="101">IFERROR(MID(CG47,1,1),"")</f>
        <v>-</v>
      </c>
      <c r="DY47" s="174" t="str">
        <f t="shared" ref="DY47" si="102">IFERROR(IF(AND(AB47="CV6",AC47="H",DW47="F",DX47="P"),"SiPM",""),"")</f>
        <v/>
      </c>
      <c r="DZ47" s="107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75"/>
      <c r="FC47" s="75"/>
      <c r="FD47" s="75"/>
      <c r="FE47" s="75"/>
      <c r="FF47" s="75"/>
      <c r="FG47" s="75"/>
      <c r="FH47" s="75"/>
      <c r="FI47" s="75"/>
      <c r="FJ47" s="74"/>
    </row>
    <row r="48" spans="2:166" ht="14.4" customHeight="1" x14ac:dyDescent="0.65">
      <c r="B48" s="126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3"/>
      <c r="AB48" s="512" t="str">
        <f t="shared" ref="AB48:AB56" si="103">MID(BC47,1,1)</f>
        <v/>
      </c>
      <c r="AC48" s="512" t="str">
        <f t="shared" ref="AC48:AC56" si="104">IFERROR(MID(BI47,1,1),"")</f>
        <v/>
      </c>
      <c r="AD48" s="513" t="str">
        <f t="shared" ref="AD48" si="105">AB47&amp;AC47&amp;AD47&amp;AB48&amp;AC48&amp;$AI$12&amp;BU47</f>
        <v>W3-</v>
      </c>
      <c r="AE48" s="476"/>
      <c r="AF48" s="477"/>
      <c r="AG48" s="477"/>
      <c r="AH48" s="478"/>
      <c r="AI48" s="478"/>
      <c r="AJ48" s="479"/>
      <c r="AK48" s="488"/>
      <c r="AL48" s="488"/>
      <c r="AM48" s="488"/>
      <c r="AN48" s="488"/>
      <c r="AO48" s="488"/>
      <c r="AP48" s="489"/>
      <c r="AQ48" s="488"/>
      <c r="AR48" s="488"/>
      <c r="AS48" s="488"/>
      <c r="AT48" s="488"/>
      <c r="AU48" s="488"/>
      <c r="AV48" s="489"/>
      <c r="AW48" s="488"/>
      <c r="AX48" s="488"/>
      <c r="AY48" s="488"/>
      <c r="AZ48" s="488"/>
      <c r="BA48" s="488"/>
      <c r="BB48" s="489"/>
      <c r="BC48" s="488"/>
      <c r="BD48" s="488"/>
      <c r="BE48" s="488"/>
      <c r="BF48" s="488"/>
      <c r="BG48" s="488"/>
      <c r="BH48" s="489"/>
      <c r="BI48" s="488"/>
      <c r="BJ48" s="488"/>
      <c r="BK48" s="488"/>
      <c r="BL48" s="488"/>
      <c r="BM48" s="488"/>
      <c r="BN48" s="489"/>
      <c r="BO48" s="497"/>
      <c r="BP48" s="497"/>
      <c r="BQ48" s="497"/>
      <c r="BR48" s="497"/>
      <c r="BS48" s="497"/>
      <c r="BT48" s="498"/>
      <c r="BU48" s="509"/>
      <c r="BV48" s="488"/>
      <c r="BW48" s="488"/>
      <c r="BX48" s="488"/>
      <c r="BY48" s="488"/>
      <c r="BZ48" s="489"/>
      <c r="CA48" s="510"/>
      <c r="CB48" s="462"/>
      <c r="CC48" s="462"/>
      <c r="CD48" s="462"/>
      <c r="CE48" s="462"/>
      <c r="CF48" s="463"/>
      <c r="CG48" s="510"/>
      <c r="CH48" s="462"/>
      <c r="CI48" s="462"/>
      <c r="CJ48" s="462"/>
      <c r="CK48" s="462"/>
      <c r="CL48" s="463"/>
      <c r="CM48" s="510"/>
      <c r="CN48" s="462"/>
      <c r="CO48" s="462"/>
      <c r="CP48" s="462"/>
      <c r="CQ48" s="462"/>
      <c r="CR48" s="463"/>
      <c r="CS48" s="510"/>
      <c r="CT48" s="462"/>
      <c r="CU48" s="462"/>
      <c r="CV48" s="462"/>
      <c r="CW48" s="462"/>
      <c r="CX48" s="463"/>
      <c r="CY48" s="510"/>
      <c r="CZ48" s="462"/>
      <c r="DA48" s="462"/>
      <c r="DB48" s="462"/>
      <c r="DC48" s="462"/>
      <c r="DD48" s="463"/>
      <c r="DE48" s="510"/>
      <c r="DF48" s="462"/>
      <c r="DG48" s="462"/>
      <c r="DH48" s="462"/>
      <c r="DI48" s="462"/>
      <c r="DJ48" s="463"/>
      <c r="DK48" s="510"/>
      <c r="DL48" s="462"/>
      <c r="DM48" s="462"/>
      <c r="DN48" s="462"/>
      <c r="DO48" s="462"/>
      <c r="DP48" s="463"/>
      <c r="DQ48" s="511"/>
      <c r="DR48" s="462"/>
      <c r="DS48" s="462"/>
      <c r="DT48" s="462"/>
      <c r="DU48" s="462"/>
      <c r="DV48" s="463"/>
      <c r="DW48" s="426"/>
      <c r="DX48" s="173"/>
      <c r="DY48" s="174"/>
      <c r="DZ48" s="107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5"/>
      <c r="FB48" s="78"/>
      <c r="FC48" s="78"/>
      <c r="FD48" s="78"/>
      <c r="FE48" s="78"/>
      <c r="FF48" s="78"/>
      <c r="FG48" s="78"/>
      <c r="FH48" s="79"/>
      <c r="FI48" s="79"/>
      <c r="FJ48" s="80"/>
    </row>
    <row r="49" spans="2:214" ht="14.4" customHeight="1" x14ac:dyDescent="0.65">
      <c r="B49" s="126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3"/>
      <c r="AB49" s="512" t="str">
        <f t="shared" ref="AB49:AB56" si="106">MID(AK49,1,1)</f>
        <v/>
      </c>
      <c r="AC49" s="512" t="str" cm="1">
        <f t="array" ref="AC49">IFERROR(_xlfn.IFS(AQ49="Mini Breaker","MB",AQ49="GoPact","GP",AQ49="EZC 100","EZ1",AQ49="EZC 250","EZ2",AQ49="CVS/NSX 250","CV2",AQ49="CVS/NSX/EZC 630","CV6",AQ49="NS 1600","NS1",AQ49="NW/MTZ 4000","NW4",AQ49="Conmutador PEQ.","CP",AQ49="Conmutador MED.","CM",AQ49="Conmutador GRA.","CG",AQ49="Contactores","CK"),"")</f>
        <v/>
      </c>
      <c r="AD49" s="513" t="str" cm="1">
        <f t="array" ref="AD49">IFERROR(_xlfn.IFS(AW49="Horizontal","H",AW49="Horizontal COMPUESTA","HC",AW49="Vertical","V",AW49="Vertical Compacta","VC",AW49="Vertical Extendida","VE"),"")</f>
        <v/>
      </c>
      <c r="AE49" s="464" t="str">
        <f t="shared" ref="AE49" si="107">IF(AH47&lt;&gt;"","+C","")</f>
        <v/>
      </c>
      <c r="AF49" s="465"/>
      <c r="AG49" s="465"/>
      <c r="AH49" s="466"/>
      <c r="AI49" s="466"/>
      <c r="AJ49" s="467"/>
      <c r="AK49" s="480"/>
      <c r="AL49" s="480"/>
      <c r="AM49" s="480"/>
      <c r="AN49" s="480"/>
      <c r="AO49" s="480"/>
      <c r="AP49" s="481"/>
      <c r="AQ49" s="482"/>
      <c r="AR49" s="482"/>
      <c r="AS49" s="482"/>
      <c r="AT49" s="482"/>
      <c r="AU49" s="482"/>
      <c r="AV49" s="483"/>
      <c r="AW49" s="482"/>
      <c r="AX49" s="482"/>
      <c r="AY49" s="482"/>
      <c r="AZ49" s="482"/>
      <c r="BA49" s="482"/>
      <c r="BB49" s="483"/>
      <c r="BC49" s="482"/>
      <c r="BD49" s="482"/>
      <c r="BE49" s="482"/>
      <c r="BF49" s="482"/>
      <c r="BG49" s="482"/>
      <c r="BH49" s="483"/>
      <c r="BI49" s="482"/>
      <c r="BJ49" s="482"/>
      <c r="BK49" s="482"/>
      <c r="BL49" s="482"/>
      <c r="BM49" s="482"/>
      <c r="BN49" s="483"/>
      <c r="BO49" s="491"/>
      <c r="BP49" s="491"/>
      <c r="BQ49" s="491"/>
      <c r="BR49" s="491"/>
      <c r="BS49" s="491"/>
      <c r="BT49" s="492"/>
      <c r="BU49" s="504" t="s">
        <v>564</v>
      </c>
      <c r="BV49" s="482"/>
      <c r="BW49" s="482"/>
      <c r="BX49" s="482"/>
      <c r="BY49" s="482"/>
      <c r="BZ49" s="483"/>
      <c r="CA49" s="500" t="s">
        <v>564</v>
      </c>
      <c r="CB49" s="456"/>
      <c r="CC49" s="456"/>
      <c r="CD49" s="456"/>
      <c r="CE49" s="456"/>
      <c r="CF49" s="457"/>
      <c r="CG49" s="500" t="s">
        <v>564</v>
      </c>
      <c r="CH49" s="456"/>
      <c r="CI49" s="456"/>
      <c r="CJ49" s="456"/>
      <c r="CK49" s="456"/>
      <c r="CL49" s="457"/>
      <c r="CM49" s="500" t="s">
        <v>564</v>
      </c>
      <c r="CN49" s="456"/>
      <c r="CO49" s="456"/>
      <c r="CP49" s="456"/>
      <c r="CQ49" s="456"/>
      <c r="CR49" s="457"/>
      <c r="CS49" s="500" t="str">
        <f>IFERROR(VLOOKUP(AD50,BD!AD34:AX77,19,FALSE),"")</f>
        <v/>
      </c>
      <c r="CT49" s="456"/>
      <c r="CU49" s="456"/>
      <c r="CV49" s="456"/>
      <c r="CW49" s="456"/>
      <c r="CX49" s="457"/>
      <c r="CY49" s="500" t="str">
        <f>IFERROR(VLOOKUP(AD50,BD!AD34:AX77,20,FALSE),"")</f>
        <v/>
      </c>
      <c r="CZ49" s="456"/>
      <c r="DA49" s="456"/>
      <c r="DB49" s="456"/>
      <c r="DC49" s="456"/>
      <c r="DD49" s="457"/>
      <c r="DE49" s="500" t="s">
        <v>564</v>
      </c>
      <c r="DF49" s="456"/>
      <c r="DG49" s="456"/>
      <c r="DH49" s="456"/>
      <c r="DI49" s="456"/>
      <c r="DJ49" s="457"/>
      <c r="DK49" s="500" t="s">
        <v>564</v>
      </c>
      <c r="DL49" s="456"/>
      <c r="DM49" s="456"/>
      <c r="DN49" s="456"/>
      <c r="DO49" s="456"/>
      <c r="DP49" s="457"/>
      <c r="DQ49" s="502" t="b">
        <v>0</v>
      </c>
      <c r="DR49" s="456" t="str">
        <f t="shared" ref="DR49" si="108">IF(DQ49=TRUE,"######","")</f>
        <v/>
      </c>
      <c r="DS49" s="456"/>
      <c r="DT49" s="456"/>
      <c r="DU49" s="456"/>
      <c r="DV49" s="457"/>
      <c r="DW49" s="426" t="str">
        <f t="shared" ref="DW49" si="109">IFERROR(MID(CA49,1,1),"")</f>
        <v>-</v>
      </c>
      <c r="DX49" s="173" t="str">
        <f t="shared" ref="DX49" si="110">IFERROR(MID(CG49,1,1),"")</f>
        <v>-</v>
      </c>
      <c r="DY49" s="174" t="str">
        <f t="shared" ref="DY49" si="111">IFERROR(IF(AND(AB49="CV6",AC49="H",DW49="F",DX49="P"),"SiPM",""),"")</f>
        <v/>
      </c>
      <c r="DZ49" s="107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5"/>
      <c r="EW49" s="105"/>
      <c r="EX49" s="105"/>
      <c r="EY49" s="105"/>
      <c r="EZ49" s="105"/>
      <c r="FA49" s="105"/>
      <c r="FB49" s="78"/>
      <c r="FC49" s="78"/>
      <c r="FD49" s="78"/>
      <c r="FE49" s="78"/>
      <c r="FF49" s="78"/>
      <c r="FG49" s="78"/>
      <c r="FH49" s="79"/>
      <c r="FI49" s="79"/>
      <c r="FJ49" s="80"/>
      <c r="FO49" s="1" t="s">
        <v>722</v>
      </c>
      <c r="FP49" s="134"/>
      <c r="FY49" s="1" t="s">
        <v>84</v>
      </c>
      <c r="GK49" s="1" t="s">
        <v>710</v>
      </c>
      <c r="GL49" s="134"/>
      <c r="GM49" s="135"/>
      <c r="GN49" s="135"/>
      <c r="GO49" s="135"/>
    </row>
    <row r="50" spans="2:214" ht="14.4" customHeight="1" x14ac:dyDescent="0.65">
      <c r="B50" s="126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3"/>
      <c r="AB50" s="512" t="str">
        <f t="shared" ref="AB50:AB56" si="112">MID(BC49,1,1)</f>
        <v/>
      </c>
      <c r="AC50" s="512" t="str">
        <f t="shared" ref="AC50:AC56" si="113">IFERROR(MID(BI49,1,1),"")</f>
        <v/>
      </c>
      <c r="AD50" s="513" t="str">
        <f t="shared" ref="AD50" si="114">AB49&amp;AC49&amp;AD49&amp;AB50&amp;AC50&amp;$AI$12&amp;BU49</f>
        <v>W3-</v>
      </c>
      <c r="AE50" s="468"/>
      <c r="AF50" s="469"/>
      <c r="AG50" s="469"/>
      <c r="AH50" s="470"/>
      <c r="AI50" s="470"/>
      <c r="AJ50" s="471"/>
      <c r="AK50" s="484"/>
      <c r="AL50" s="484"/>
      <c r="AM50" s="484"/>
      <c r="AN50" s="484"/>
      <c r="AO50" s="484"/>
      <c r="AP50" s="485"/>
      <c r="AQ50" s="484"/>
      <c r="AR50" s="484"/>
      <c r="AS50" s="484"/>
      <c r="AT50" s="484"/>
      <c r="AU50" s="484"/>
      <c r="AV50" s="485"/>
      <c r="AW50" s="484"/>
      <c r="AX50" s="484"/>
      <c r="AY50" s="484"/>
      <c r="AZ50" s="484"/>
      <c r="BA50" s="484"/>
      <c r="BB50" s="485"/>
      <c r="BC50" s="484"/>
      <c r="BD50" s="484"/>
      <c r="BE50" s="484"/>
      <c r="BF50" s="484"/>
      <c r="BG50" s="484"/>
      <c r="BH50" s="485"/>
      <c r="BI50" s="484"/>
      <c r="BJ50" s="484"/>
      <c r="BK50" s="484"/>
      <c r="BL50" s="484"/>
      <c r="BM50" s="484"/>
      <c r="BN50" s="485"/>
      <c r="BO50" s="493"/>
      <c r="BP50" s="493"/>
      <c r="BQ50" s="493"/>
      <c r="BR50" s="493"/>
      <c r="BS50" s="493"/>
      <c r="BT50" s="494"/>
      <c r="BU50" s="505"/>
      <c r="BV50" s="484"/>
      <c r="BW50" s="484"/>
      <c r="BX50" s="484"/>
      <c r="BY50" s="484"/>
      <c r="BZ50" s="485"/>
      <c r="CA50" s="501"/>
      <c r="CB50" s="458"/>
      <c r="CC50" s="458"/>
      <c r="CD50" s="458"/>
      <c r="CE50" s="458"/>
      <c r="CF50" s="459"/>
      <c r="CG50" s="501"/>
      <c r="CH50" s="458"/>
      <c r="CI50" s="458"/>
      <c r="CJ50" s="458"/>
      <c r="CK50" s="458"/>
      <c r="CL50" s="459"/>
      <c r="CM50" s="501"/>
      <c r="CN50" s="458"/>
      <c r="CO50" s="458"/>
      <c r="CP50" s="458"/>
      <c r="CQ50" s="458"/>
      <c r="CR50" s="459"/>
      <c r="CS50" s="501"/>
      <c r="CT50" s="458"/>
      <c r="CU50" s="458"/>
      <c r="CV50" s="458"/>
      <c r="CW50" s="458"/>
      <c r="CX50" s="459"/>
      <c r="CY50" s="501"/>
      <c r="CZ50" s="458"/>
      <c r="DA50" s="458"/>
      <c r="DB50" s="458"/>
      <c r="DC50" s="458"/>
      <c r="DD50" s="459"/>
      <c r="DE50" s="501"/>
      <c r="DF50" s="458"/>
      <c r="DG50" s="458"/>
      <c r="DH50" s="458"/>
      <c r="DI50" s="458"/>
      <c r="DJ50" s="459"/>
      <c r="DK50" s="501"/>
      <c r="DL50" s="458"/>
      <c r="DM50" s="458"/>
      <c r="DN50" s="458"/>
      <c r="DO50" s="458"/>
      <c r="DP50" s="459"/>
      <c r="DQ50" s="503"/>
      <c r="DR50" s="458"/>
      <c r="DS50" s="458"/>
      <c r="DT50" s="458"/>
      <c r="DU50" s="458"/>
      <c r="DV50" s="459"/>
      <c r="DW50" s="426"/>
      <c r="DX50" s="173"/>
      <c r="DY50" s="174"/>
      <c r="DZ50" s="107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75"/>
      <c r="FC50" s="75"/>
      <c r="FD50" s="75"/>
      <c r="FE50" s="75"/>
      <c r="FF50" s="75"/>
      <c r="FG50" s="75"/>
      <c r="FH50" s="75"/>
      <c r="FI50" s="75"/>
      <c r="FJ50" s="74"/>
      <c r="FO50" s="1" t="s">
        <v>709</v>
      </c>
      <c r="FP50" s="1"/>
      <c r="FY50" s="1" t="s">
        <v>726</v>
      </c>
      <c r="GK50" s="1" t="s">
        <v>713</v>
      </c>
      <c r="GM50" s="1"/>
      <c r="GN50" s="1"/>
    </row>
    <row r="51" spans="2:214" ht="14.4" customHeight="1" x14ac:dyDescent="0.65">
      <c r="B51" s="126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3"/>
      <c r="AB51" s="512" t="str">
        <f t="shared" ref="AB51:AB56" si="115">MID(AK51,1,1)</f>
        <v/>
      </c>
      <c r="AC51" s="512" t="str" cm="1">
        <f t="array" ref="AC51">IFERROR(_xlfn.IFS(AQ51="Mini Breaker","MB",AQ51="GoPact","GP",AQ51="EZC 100","EZ1",AQ51="EZC 250","EZ2",AQ51="CVS/NSX 250","CV2",AQ51="CVS/NSX/EZC 630","CV6",AQ51="NS 1600","NS1",AQ51="NW/MTZ 4000","NW4",AQ51="Conmutador PEQ.","CP",AQ51="Conmutador MED.","CM",AQ51="Conmutador GRA.","CG",AQ51="Contactores","CK"),"")</f>
        <v/>
      </c>
      <c r="AD51" s="513" t="str" cm="1">
        <f t="array" ref="AD51">IFERROR(_xlfn.IFS(AW51="Horizontal","H",AW51="Horizontal COMPUESTA","HC",AW51="Vertical","V",AW51="Vertical Compacta","VC",AW51="Vertical Extendida","VE"),"")</f>
        <v/>
      </c>
      <c r="AE51" s="472" t="str">
        <f t="shared" ref="AE51" si="116">IF(AH49&lt;&gt;"","+C","")</f>
        <v/>
      </c>
      <c r="AF51" s="473"/>
      <c r="AG51" s="473"/>
      <c r="AH51" s="474"/>
      <c r="AI51" s="474"/>
      <c r="AJ51" s="475"/>
      <c r="AK51" s="413"/>
      <c r="AL51" s="413"/>
      <c r="AM51" s="413"/>
      <c r="AN51" s="413"/>
      <c r="AO51" s="413"/>
      <c r="AP51" s="490"/>
      <c r="AQ51" s="486"/>
      <c r="AR51" s="486"/>
      <c r="AS51" s="486"/>
      <c r="AT51" s="486"/>
      <c r="AU51" s="486"/>
      <c r="AV51" s="487"/>
      <c r="AW51" s="486"/>
      <c r="AX51" s="486"/>
      <c r="AY51" s="486"/>
      <c r="AZ51" s="486"/>
      <c r="BA51" s="486"/>
      <c r="BB51" s="487"/>
      <c r="BC51" s="486"/>
      <c r="BD51" s="486"/>
      <c r="BE51" s="486"/>
      <c r="BF51" s="486"/>
      <c r="BG51" s="486"/>
      <c r="BH51" s="487"/>
      <c r="BI51" s="486"/>
      <c r="BJ51" s="486"/>
      <c r="BK51" s="486"/>
      <c r="BL51" s="486"/>
      <c r="BM51" s="486"/>
      <c r="BN51" s="487"/>
      <c r="BO51" s="495"/>
      <c r="BP51" s="495"/>
      <c r="BQ51" s="495"/>
      <c r="BR51" s="495"/>
      <c r="BS51" s="495"/>
      <c r="BT51" s="496"/>
      <c r="BU51" s="506" t="s">
        <v>564</v>
      </c>
      <c r="BV51" s="486"/>
      <c r="BW51" s="486"/>
      <c r="BX51" s="486"/>
      <c r="BY51" s="486"/>
      <c r="BZ51" s="487"/>
      <c r="CA51" s="507" t="s">
        <v>564</v>
      </c>
      <c r="CB51" s="460"/>
      <c r="CC51" s="460"/>
      <c r="CD51" s="460"/>
      <c r="CE51" s="460"/>
      <c r="CF51" s="461"/>
      <c r="CG51" s="507" t="s">
        <v>564</v>
      </c>
      <c r="CH51" s="460"/>
      <c r="CI51" s="460"/>
      <c r="CJ51" s="460"/>
      <c r="CK51" s="460"/>
      <c r="CL51" s="461"/>
      <c r="CM51" s="507" t="s">
        <v>564</v>
      </c>
      <c r="CN51" s="460"/>
      <c r="CO51" s="460"/>
      <c r="CP51" s="460"/>
      <c r="CQ51" s="460"/>
      <c r="CR51" s="461"/>
      <c r="CS51" s="507" t="str">
        <f>IFERROR(VLOOKUP(AD52,BD!AD36:AX79,19,FALSE),"")</f>
        <v/>
      </c>
      <c r="CT51" s="460"/>
      <c r="CU51" s="460"/>
      <c r="CV51" s="460"/>
      <c r="CW51" s="460"/>
      <c r="CX51" s="461"/>
      <c r="CY51" s="507" t="str">
        <f>IFERROR(VLOOKUP(AD52,BD!AD36:AX79,20,FALSE),"")</f>
        <v/>
      </c>
      <c r="CZ51" s="460"/>
      <c r="DA51" s="460"/>
      <c r="DB51" s="460"/>
      <c r="DC51" s="460"/>
      <c r="DD51" s="461"/>
      <c r="DE51" s="507" t="s">
        <v>564</v>
      </c>
      <c r="DF51" s="460"/>
      <c r="DG51" s="460"/>
      <c r="DH51" s="460"/>
      <c r="DI51" s="460"/>
      <c r="DJ51" s="461"/>
      <c r="DK51" s="507" t="s">
        <v>564</v>
      </c>
      <c r="DL51" s="460"/>
      <c r="DM51" s="460"/>
      <c r="DN51" s="460"/>
      <c r="DO51" s="460"/>
      <c r="DP51" s="461"/>
      <c r="DQ51" s="508" t="b">
        <v>0</v>
      </c>
      <c r="DR51" s="460" t="str">
        <f t="shared" ref="DR51" si="117">IF(DQ51=TRUE,"######","")</f>
        <v/>
      </c>
      <c r="DS51" s="460"/>
      <c r="DT51" s="460"/>
      <c r="DU51" s="460"/>
      <c r="DV51" s="461"/>
      <c r="DW51" s="426" t="str">
        <f t="shared" ref="DW51" si="118">IFERROR(MID(CA51,1,1),"")</f>
        <v>-</v>
      </c>
      <c r="DX51" s="173" t="str">
        <f t="shared" ref="DX51" si="119">IFERROR(MID(CG51,1,1),"")</f>
        <v>-</v>
      </c>
      <c r="DY51" s="174" t="str">
        <f t="shared" ref="DY51" si="120">IFERROR(IF(AND(AB51="CV6",AC51="H",DW51="F",DX51="P"),"SiPM",""),"")</f>
        <v/>
      </c>
      <c r="DZ51" s="107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78"/>
      <c r="FC51" s="78"/>
      <c r="FD51" s="78"/>
      <c r="FE51" s="78"/>
      <c r="FF51" s="78"/>
      <c r="FG51" s="78"/>
      <c r="FH51" s="79"/>
      <c r="FI51" s="79"/>
      <c r="FJ51" s="80"/>
      <c r="FO51" s="1" t="s">
        <v>711</v>
      </c>
      <c r="FP51" s="1"/>
      <c r="FY51" s="1" t="s">
        <v>80</v>
      </c>
      <c r="GM51" s="1"/>
      <c r="GN51" s="1"/>
    </row>
    <row r="52" spans="2:214" ht="14.4" customHeight="1" x14ac:dyDescent="0.65">
      <c r="B52" s="126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3"/>
      <c r="AB52" s="512" t="str">
        <f t="shared" ref="AB52:AB56" si="121">MID(BC51,1,1)</f>
        <v/>
      </c>
      <c r="AC52" s="512" t="str">
        <f t="shared" ref="AC52:AC56" si="122">IFERROR(MID(BI51,1,1),"")</f>
        <v/>
      </c>
      <c r="AD52" s="513" t="str">
        <f t="shared" ref="AD52" si="123">AB51&amp;AC51&amp;AD51&amp;AB52&amp;AC52&amp;$AI$12&amp;BU51</f>
        <v>W3-</v>
      </c>
      <c r="AE52" s="476"/>
      <c r="AF52" s="477"/>
      <c r="AG52" s="477"/>
      <c r="AH52" s="478"/>
      <c r="AI52" s="478"/>
      <c r="AJ52" s="479"/>
      <c r="AK52" s="488"/>
      <c r="AL52" s="488"/>
      <c r="AM52" s="488"/>
      <c r="AN52" s="488"/>
      <c r="AO52" s="488"/>
      <c r="AP52" s="489"/>
      <c r="AQ52" s="488"/>
      <c r="AR52" s="488"/>
      <c r="AS52" s="488"/>
      <c r="AT52" s="488"/>
      <c r="AU52" s="488"/>
      <c r="AV52" s="489"/>
      <c r="AW52" s="488"/>
      <c r="AX52" s="488"/>
      <c r="AY52" s="488"/>
      <c r="AZ52" s="488"/>
      <c r="BA52" s="488"/>
      <c r="BB52" s="489"/>
      <c r="BC52" s="488"/>
      <c r="BD52" s="488"/>
      <c r="BE52" s="488"/>
      <c r="BF52" s="488"/>
      <c r="BG52" s="488"/>
      <c r="BH52" s="489"/>
      <c r="BI52" s="488"/>
      <c r="BJ52" s="488"/>
      <c r="BK52" s="488"/>
      <c r="BL52" s="488"/>
      <c r="BM52" s="488"/>
      <c r="BN52" s="489"/>
      <c r="BO52" s="497"/>
      <c r="BP52" s="497"/>
      <c r="BQ52" s="497"/>
      <c r="BR52" s="497"/>
      <c r="BS52" s="497"/>
      <c r="BT52" s="498"/>
      <c r="BU52" s="509"/>
      <c r="BV52" s="488"/>
      <c r="BW52" s="488"/>
      <c r="BX52" s="488"/>
      <c r="BY52" s="488"/>
      <c r="BZ52" s="489"/>
      <c r="CA52" s="510"/>
      <c r="CB52" s="462"/>
      <c r="CC52" s="462"/>
      <c r="CD52" s="462"/>
      <c r="CE52" s="462"/>
      <c r="CF52" s="463"/>
      <c r="CG52" s="510"/>
      <c r="CH52" s="462"/>
      <c r="CI52" s="462"/>
      <c r="CJ52" s="462"/>
      <c r="CK52" s="462"/>
      <c r="CL52" s="463"/>
      <c r="CM52" s="510"/>
      <c r="CN52" s="462"/>
      <c r="CO52" s="462"/>
      <c r="CP52" s="462"/>
      <c r="CQ52" s="462"/>
      <c r="CR52" s="463"/>
      <c r="CS52" s="510"/>
      <c r="CT52" s="462"/>
      <c r="CU52" s="462"/>
      <c r="CV52" s="462"/>
      <c r="CW52" s="462"/>
      <c r="CX52" s="463"/>
      <c r="CY52" s="510"/>
      <c r="CZ52" s="462"/>
      <c r="DA52" s="462"/>
      <c r="DB52" s="462"/>
      <c r="DC52" s="462"/>
      <c r="DD52" s="463"/>
      <c r="DE52" s="510"/>
      <c r="DF52" s="462"/>
      <c r="DG52" s="462"/>
      <c r="DH52" s="462"/>
      <c r="DI52" s="462"/>
      <c r="DJ52" s="463"/>
      <c r="DK52" s="510"/>
      <c r="DL52" s="462"/>
      <c r="DM52" s="462"/>
      <c r="DN52" s="462"/>
      <c r="DO52" s="462"/>
      <c r="DP52" s="463"/>
      <c r="DQ52" s="511"/>
      <c r="DR52" s="462"/>
      <c r="DS52" s="462"/>
      <c r="DT52" s="462"/>
      <c r="DU52" s="462"/>
      <c r="DV52" s="463"/>
      <c r="DW52" s="426"/>
      <c r="DX52" s="173"/>
      <c r="DY52" s="174"/>
      <c r="DZ52" s="107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78"/>
      <c r="FC52" s="78"/>
      <c r="FD52" s="78"/>
      <c r="FE52" s="78"/>
      <c r="FF52" s="78"/>
      <c r="FG52" s="78"/>
      <c r="FH52" s="79"/>
      <c r="FI52" s="79"/>
      <c r="FJ52" s="80"/>
      <c r="FO52" s="1" t="s">
        <v>714</v>
      </c>
      <c r="FP52" s="1"/>
      <c r="FY52" s="1" t="s">
        <v>706</v>
      </c>
      <c r="GM52" s="1"/>
      <c r="GN52" s="1"/>
      <c r="GO52" s="1"/>
    </row>
    <row r="53" spans="2:214" ht="14.4" customHeight="1" x14ac:dyDescent="0.65">
      <c r="B53" s="126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3"/>
      <c r="AB53" s="512" t="str">
        <f t="shared" ref="AB53:AB56" si="124">MID(AK53,1,1)</f>
        <v/>
      </c>
      <c r="AC53" s="512" t="str" cm="1">
        <f t="array" ref="AC53">IFERROR(_xlfn.IFS(AQ53="Mini Breaker","MB",AQ53="GoPact","GP",AQ53="EZC 100","EZ1",AQ53="EZC 250","EZ2",AQ53="CVS/NSX 250","CV2",AQ53="CVS/NSX/EZC 630","CV6",AQ53="NS 1600","NS1",AQ53="NW/MTZ 4000","NW4",AQ53="Conmutador PEQ.","CP",AQ53="Conmutador MED.","CM",AQ53="Conmutador GRA.","CG",AQ53="Contactores","CK"),"")</f>
        <v/>
      </c>
      <c r="AD53" s="513" t="str" cm="1">
        <f t="array" ref="AD53">IFERROR(_xlfn.IFS(AW53="Horizontal","H",AW53="Horizontal COMPUESTA","HC",AW53="Vertical","V",AW53="Vertical Compacta","VC",AW53="Vertical Extendida","VE"),"")</f>
        <v/>
      </c>
      <c r="AE53" s="464" t="str">
        <f t="shared" ref="AE53" si="125">IF(AH51&lt;&gt;"","+C","")</f>
        <v/>
      </c>
      <c r="AF53" s="465"/>
      <c r="AG53" s="465"/>
      <c r="AH53" s="466"/>
      <c r="AI53" s="466"/>
      <c r="AJ53" s="467"/>
      <c r="AK53" s="480"/>
      <c r="AL53" s="480"/>
      <c r="AM53" s="480"/>
      <c r="AN53" s="480"/>
      <c r="AO53" s="480"/>
      <c r="AP53" s="481"/>
      <c r="AQ53" s="482"/>
      <c r="AR53" s="482"/>
      <c r="AS53" s="482"/>
      <c r="AT53" s="482"/>
      <c r="AU53" s="482"/>
      <c r="AV53" s="483"/>
      <c r="AW53" s="482"/>
      <c r="AX53" s="482"/>
      <c r="AY53" s="482"/>
      <c r="AZ53" s="482"/>
      <c r="BA53" s="482"/>
      <c r="BB53" s="483"/>
      <c r="BC53" s="482"/>
      <c r="BD53" s="482"/>
      <c r="BE53" s="482"/>
      <c r="BF53" s="482"/>
      <c r="BG53" s="482"/>
      <c r="BH53" s="483"/>
      <c r="BI53" s="482"/>
      <c r="BJ53" s="482"/>
      <c r="BK53" s="482"/>
      <c r="BL53" s="482"/>
      <c r="BM53" s="482"/>
      <c r="BN53" s="483"/>
      <c r="BO53" s="491"/>
      <c r="BP53" s="491"/>
      <c r="BQ53" s="491"/>
      <c r="BR53" s="491"/>
      <c r="BS53" s="491"/>
      <c r="BT53" s="492"/>
      <c r="BU53" s="504" t="s">
        <v>564</v>
      </c>
      <c r="BV53" s="482"/>
      <c r="BW53" s="482"/>
      <c r="BX53" s="482"/>
      <c r="BY53" s="482"/>
      <c r="BZ53" s="483"/>
      <c r="CA53" s="500" t="s">
        <v>564</v>
      </c>
      <c r="CB53" s="456"/>
      <c r="CC53" s="456"/>
      <c r="CD53" s="456"/>
      <c r="CE53" s="456"/>
      <c r="CF53" s="457"/>
      <c r="CG53" s="500" t="s">
        <v>564</v>
      </c>
      <c r="CH53" s="456"/>
      <c r="CI53" s="456"/>
      <c r="CJ53" s="456"/>
      <c r="CK53" s="456"/>
      <c r="CL53" s="457"/>
      <c r="CM53" s="500" t="s">
        <v>564</v>
      </c>
      <c r="CN53" s="456"/>
      <c r="CO53" s="456"/>
      <c r="CP53" s="456"/>
      <c r="CQ53" s="456"/>
      <c r="CR53" s="457"/>
      <c r="CS53" s="500" t="str">
        <f>IFERROR(VLOOKUP(AD54,BD!AD38:AX81,19,FALSE),"")</f>
        <v/>
      </c>
      <c r="CT53" s="456"/>
      <c r="CU53" s="456"/>
      <c r="CV53" s="456"/>
      <c r="CW53" s="456"/>
      <c r="CX53" s="457"/>
      <c r="CY53" s="500" t="str">
        <f>IFERROR(VLOOKUP(AD54,BD!AD38:AX81,20,FALSE),"")</f>
        <v/>
      </c>
      <c r="CZ53" s="456"/>
      <c r="DA53" s="456"/>
      <c r="DB53" s="456"/>
      <c r="DC53" s="456"/>
      <c r="DD53" s="457"/>
      <c r="DE53" s="500" t="s">
        <v>564</v>
      </c>
      <c r="DF53" s="456"/>
      <c r="DG53" s="456"/>
      <c r="DH53" s="456"/>
      <c r="DI53" s="456"/>
      <c r="DJ53" s="457"/>
      <c r="DK53" s="500" t="s">
        <v>564</v>
      </c>
      <c r="DL53" s="456"/>
      <c r="DM53" s="456"/>
      <c r="DN53" s="456"/>
      <c r="DO53" s="456"/>
      <c r="DP53" s="457"/>
      <c r="DQ53" s="502" t="b">
        <v>0</v>
      </c>
      <c r="DR53" s="456" t="str">
        <f t="shared" ref="DR53" si="126">IF(DQ53=TRUE,"######","")</f>
        <v/>
      </c>
      <c r="DS53" s="456"/>
      <c r="DT53" s="456"/>
      <c r="DU53" s="456"/>
      <c r="DV53" s="457"/>
      <c r="DW53" s="426" t="str">
        <f t="shared" ref="DW53" si="127">IFERROR(MID(CA53,1,1),"")</f>
        <v>-</v>
      </c>
      <c r="DX53" s="173" t="str">
        <f t="shared" ref="DX53" si="128">IFERROR(MID(CG53,1,1),"")</f>
        <v>-</v>
      </c>
      <c r="DY53" s="174" t="str">
        <f t="shared" ref="DY53" si="129">IFERROR(IF(AND(AB53="CV6",AC53="H",DW53="F",DX53="P"),"SiPM",""),"")</f>
        <v/>
      </c>
      <c r="DZ53" s="107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75"/>
      <c r="FC53" s="75"/>
      <c r="FD53" s="75"/>
      <c r="FE53" s="75"/>
      <c r="FF53" s="75"/>
      <c r="FG53" s="75"/>
      <c r="FH53" s="75"/>
      <c r="FI53" s="75"/>
      <c r="FJ53" s="74"/>
      <c r="FO53" s="1" t="s">
        <v>715</v>
      </c>
      <c r="FP53" s="1"/>
      <c r="FY53" s="1" t="s">
        <v>727</v>
      </c>
      <c r="GM53" s="1"/>
      <c r="GN53" s="1"/>
      <c r="GO53" s="1"/>
    </row>
    <row r="54" spans="2:214" ht="14.4" customHeight="1" x14ac:dyDescent="0.65">
      <c r="B54" s="126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3"/>
      <c r="AB54" s="512" t="str">
        <f t="shared" ref="AB54:AB56" si="130">MID(BC53,1,1)</f>
        <v/>
      </c>
      <c r="AC54" s="512" t="str">
        <f t="shared" ref="AC54:AC56" si="131">IFERROR(MID(BI53,1,1),"")</f>
        <v/>
      </c>
      <c r="AD54" s="513" t="str">
        <f t="shared" ref="AD54" si="132">AB53&amp;AC53&amp;AD53&amp;AB54&amp;AC54&amp;$AI$12&amp;BU53</f>
        <v>W3-</v>
      </c>
      <c r="AE54" s="468"/>
      <c r="AF54" s="469"/>
      <c r="AG54" s="469"/>
      <c r="AH54" s="470"/>
      <c r="AI54" s="470"/>
      <c r="AJ54" s="471"/>
      <c r="AK54" s="484"/>
      <c r="AL54" s="484"/>
      <c r="AM54" s="484"/>
      <c r="AN54" s="484"/>
      <c r="AO54" s="484"/>
      <c r="AP54" s="485"/>
      <c r="AQ54" s="484"/>
      <c r="AR54" s="484"/>
      <c r="AS54" s="484"/>
      <c r="AT54" s="484"/>
      <c r="AU54" s="484"/>
      <c r="AV54" s="485"/>
      <c r="AW54" s="484"/>
      <c r="AX54" s="484"/>
      <c r="AY54" s="484"/>
      <c r="AZ54" s="484"/>
      <c r="BA54" s="484"/>
      <c r="BB54" s="485"/>
      <c r="BC54" s="484"/>
      <c r="BD54" s="484"/>
      <c r="BE54" s="484"/>
      <c r="BF54" s="484"/>
      <c r="BG54" s="484"/>
      <c r="BH54" s="485"/>
      <c r="BI54" s="484"/>
      <c r="BJ54" s="484"/>
      <c r="BK54" s="484"/>
      <c r="BL54" s="484"/>
      <c r="BM54" s="484"/>
      <c r="BN54" s="485"/>
      <c r="BO54" s="493"/>
      <c r="BP54" s="493"/>
      <c r="BQ54" s="493"/>
      <c r="BR54" s="493"/>
      <c r="BS54" s="493"/>
      <c r="BT54" s="494"/>
      <c r="BU54" s="505"/>
      <c r="BV54" s="484"/>
      <c r="BW54" s="484"/>
      <c r="BX54" s="484"/>
      <c r="BY54" s="484"/>
      <c r="BZ54" s="485"/>
      <c r="CA54" s="501"/>
      <c r="CB54" s="458"/>
      <c r="CC54" s="458"/>
      <c r="CD54" s="458"/>
      <c r="CE54" s="458"/>
      <c r="CF54" s="459"/>
      <c r="CG54" s="501"/>
      <c r="CH54" s="458"/>
      <c r="CI54" s="458"/>
      <c r="CJ54" s="458"/>
      <c r="CK54" s="458"/>
      <c r="CL54" s="459"/>
      <c r="CM54" s="501"/>
      <c r="CN54" s="458"/>
      <c r="CO54" s="458"/>
      <c r="CP54" s="458"/>
      <c r="CQ54" s="458"/>
      <c r="CR54" s="459"/>
      <c r="CS54" s="501"/>
      <c r="CT54" s="458"/>
      <c r="CU54" s="458"/>
      <c r="CV54" s="458"/>
      <c r="CW54" s="458"/>
      <c r="CX54" s="459"/>
      <c r="CY54" s="501"/>
      <c r="CZ54" s="458"/>
      <c r="DA54" s="458"/>
      <c r="DB54" s="458"/>
      <c r="DC54" s="458"/>
      <c r="DD54" s="459"/>
      <c r="DE54" s="501"/>
      <c r="DF54" s="458"/>
      <c r="DG54" s="458"/>
      <c r="DH54" s="458"/>
      <c r="DI54" s="458"/>
      <c r="DJ54" s="459"/>
      <c r="DK54" s="501"/>
      <c r="DL54" s="458"/>
      <c r="DM54" s="458"/>
      <c r="DN54" s="458"/>
      <c r="DO54" s="458"/>
      <c r="DP54" s="459"/>
      <c r="DQ54" s="503"/>
      <c r="DR54" s="458"/>
      <c r="DS54" s="458"/>
      <c r="DT54" s="458"/>
      <c r="DU54" s="458"/>
      <c r="DV54" s="459"/>
      <c r="DW54" s="426"/>
      <c r="DX54" s="173"/>
      <c r="DY54" s="174"/>
      <c r="DZ54" s="107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78"/>
      <c r="FC54" s="78"/>
      <c r="FD54" s="78"/>
      <c r="FE54" s="78"/>
      <c r="FF54" s="78"/>
      <c r="FG54" s="78"/>
      <c r="FH54" s="79"/>
      <c r="FI54" s="79"/>
      <c r="FJ54" s="80"/>
      <c r="FO54" s="1" t="s">
        <v>717</v>
      </c>
      <c r="FP54" s="1"/>
      <c r="GM54" s="1"/>
      <c r="GN54" s="1"/>
      <c r="GO54" s="1"/>
    </row>
    <row r="55" spans="2:214" ht="14.4" customHeight="1" x14ac:dyDescent="0.65">
      <c r="B55" s="126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3"/>
      <c r="AB55" s="512" t="str">
        <f t="shared" ref="AB55:AB56" si="133">MID(AK55,1,1)</f>
        <v/>
      </c>
      <c r="AC55" s="512" t="str" cm="1">
        <f t="array" ref="AC55">IFERROR(_xlfn.IFS(AQ55="Mini Breaker","MB",AQ55="GoPact","GP",AQ55="EZC 100","EZ1",AQ55="EZC 250","EZ2",AQ55="CVS/NSX 250","CV2",AQ55="CVS/NSX/EZC 630","CV6",AQ55="NS 1600","NS1",AQ55="NW/MTZ 4000","NW4",AQ55="Conmutador PEQ.","CP",AQ55="Conmutador MED.","CM",AQ55="Conmutador GRA.","CG",AQ55="Contactores","CK"),"")</f>
        <v/>
      </c>
      <c r="AD55" s="513" t="str" cm="1">
        <f t="array" ref="AD55">IFERROR(_xlfn.IFS(AW55="Horizontal","H",AW55="Horizontal COMPUESTA","HC",AW55="Vertical","V",AW55="Vertical Compacta","VC",AW55="Vertical Extendida","VE"),"")</f>
        <v/>
      </c>
      <c r="AE55" s="472" t="str">
        <f t="shared" ref="AE55" si="134">IF(AH53&lt;&gt;"","+C","")</f>
        <v/>
      </c>
      <c r="AF55" s="473"/>
      <c r="AG55" s="473"/>
      <c r="AH55" s="474"/>
      <c r="AI55" s="474"/>
      <c r="AJ55" s="475"/>
      <c r="AK55" s="413"/>
      <c r="AL55" s="413"/>
      <c r="AM55" s="413"/>
      <c r="AN55" s="413"/>
      <c r="AO55" s="413"/>
      <c r="AP55" s="490"/>
      <c r="AQ55" s="486"/>
      <c r="AR55" s="486"/>
      <c r="AS55" s="486"/>
      <c r="AT55" s="486"/>
      <c r="AU55" s="486"/>
      <c r="AV55" s="487"/>
      <c r="AW55" s="486"/>
      <c r="AX55" s="486"/>
      <c r="AY55" s="486"/>
      <c r="AZ55" s="486"/>
      <c r="BA55" s="486"/>
      <c r="BB55" s="487"/>
      <c r="BC55" s="486"/>
      <c r="BD55" s="486"/>
      <c r="BE55" s="486"/>
      <c r="BF55" s="486"/>
      <c r="BG55" s="486"/>
      <c r="BH55" s="487"/>
      <c r="BI55" s="486"/>
      <c r="BJ55" s="486"/>
      <c r="BK55" s="486"/>
      <c r="BL55" s="486"/>
      <c r="BM55" s="486"/>
      <c r="BN55" s="487"/>
      <c r="BO55" s="495"/>
      <c r="BP55" s="495"/>
      <c r="BQ55" s="495"/>
      <c r="BR55" s="495"/>
      <c r="BS55" s="495"/>
      <c r="BT55" s="496"/>
      <c r="BU55" s="506" t="s">
        <v>564</v>
      </c>
      <c r="BV55" s="486"/>
      <c r="BW55" s="486"/>
      <c r="BX55" s="486"/>
      <c r="BY55" s="486"/>
      <c r="BZ55" s="487"/>
      <c r="CA55" s="507" t="s">
        <v>564</v>
      </c>
      <c r="CB55" s="460"/>
      <c r="CC55" s="460"/>
      <c r="CD55" s="460"/>
      <c r="CE55" s="460"/>
      <c r="CF55" s="461"/>
      <c r="CG55" s="507" t="s">
        <v>564</v>
      </c>
      <c r="CH55" s="460"/>
      <c r="CI55" s="460"/>
      <c r="CJ55" s="460"/>
      <c r="CK55" s="460"/>
      <c r="CL55" s="461"/>
      <c r="CM55" s="507" t="s">
        <v>564</v>
      </c>
      <c r="CN55" s="460"/>
      <c r="CO55" s="460"/>
      <c r="CP55" s="460"/>
      <c r="CQ55" s="460"/>
      <c r="CR55" s="461"/>
      <c r="CS55" s="507" t="str">
        <f>IFERROR(VLOOKUP(AD56,BD!AD40:AX83,19,FALSE),"")</f>
        <v/>
      </c>
      <c r="CT55" s="460"/>
      <c r="CU55" s="460"/>
      <c r="CV55" s="460"/>
      <c r="CW55" s="460"/>
      <c r="CX55" s="461"/>
      <c r="CY55" s="507" t="str">
        <f>IFERROR(VLOOKUP(AD56,BD!AD40:AX83,20,FALSE),"")</f>
        <v/>
      </c>
      <c r="CZ55" s="460"/>
      <c r="DA55" s="460"/>
      <c r="DB55" s="460"/>
      <c r="DC55" s="460"/>
      <c r="DD55" s="461"/>
      <c r="DE55" s="507" t="s">
        <v>564</v>
      </c>
      <c r="DF55" s="460"/>
      <c r="DG55" s="460"/>
      <c r="DH55" s="460"/>
      <c r="DI55" s="460"/>
      <c r="DJ55" s="461"/>
      <c r="DK55" s="507" t="s">
        <v>564</v>
      </c>
      <c r="DL55" s="460"/>
      <c r="DM55" s="460"/>
      <c r="DN55" s="460"/>
      <c r="DO55" s="460"/>
      <c r="DP55" s="461"/>
      <c r="DQ55" s="508" t="b">
        <v>0</v>
      </c>
      <c r="DR55" s="460" t="str">
        <f t="shared" ref="DR55" si="135">IF(DQ55=TRUE,"######","")</f>
        <v/>
      </c>
      <c r="DS55" s="460"/>
      <c r="DT55" s="460"/>
      <c r="DU55" s="460"/>
      <c r="DV55" s="461"/>
      <c r="DW55" s="426" t="str">
        <f t="shared" ref="DW55" si="136">IFERROR(MID(CA55,1,1),"")</f>
        <v>-</v>
      </c>
      <c r="DX55" s="173" t="str">
        <f t="shared" ref="DX55" si="137">IFERROR(MID(CG55,1,1),"")</f>
        <v>-</v>
      </c>
      <c r="DY55" s="174" t="str">
        <f t="shared" ref="DY55" si="138">IFERROR(IF(AND(AB55="CV6",AC55="H",DW55="F",DX55="P"),"SiPM",""),"")</f>
        <v/>
      </c>
      <c r="DZ55" s="107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78"/>
      <c r="FC55" s="78"/>
      <c r="FD55" s="78"/>
      <c r="FE55" s="78"/>
      <c r="FF55" s="78"/>
      <c r="FG55" s="78"/>
      <c r="FH55" s="79"/>
      <c r="FI55" s="79"/>
      <c r="FJ55" s="80"/>
      <c r="FO55" s="1" t="s">
        <v>723</v>
      </c>
      <c r="FP55" s="1"/>
      <c r="GL55" s="1"/>
      <c r="GM55" s="1"/>
      <c r="GN55" s="1"/>
      <c r="GO55" s="1"/>
    </row>
    <row r="56" spans="2:214" ht="14.4" customHeight="1" x14ac:dyDescent="0.65">
      <c r="B56" s="126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3"/>
      <c r="AB56" s="512" t="str">
        <f t="shared" ref="AB56" si="139">MID(BC55,1,1)</f>
        <v/>
      </c>
      <c r="AC56" s="512" t="str">
        <f t="shared" ref="AC56" si="140">IFERROR(MID(BI55,1,1),"")</f>
        <v/>
      </c>
      <c r="AD56" s="513" t="str">
        <f t="shared" ref="AD56" si="141">AB55&amp;AC55&amp;AD55&amp;AB56&amp;AC56&amp;$AI$12&amp;BU55</f>
        <v>W3-</v>
      </c>
      <c r="AE56" s="476"/>
      <c r="AF56" s="477"/>
      <c r="AG56" s="477"/>
      <c r="AH56" s="478"/>
      <c r="AI56" s="478"/>
      <c r="AJ56" s="479"/>
      <c r="AK56" s="488"/>
      <c r="AL56" s="488"/>
      <c r="AM56" s="488"/>
      <c r="AN56" s="488"/>
      <c r="AO56" s="488"/>
      <c r="AP56" s="489"/>
      <c r="AQ56" s="488"/>
      <c r="AR56" s="488"/>
      <c r="AS56" s="488"/>
      <c r="AT56" s="488"/>
      <c r="AU56" s="488"/>
      <c r="AV56" s="489"/>
      <c r="AW56" s="488"/>
      <c r="AX56" s="488"/>
      <c r="AY56" s="488"/>
      <c r="AZ56" s="488"/>
      <c r="BA56" s="488"/>
      <c r="BB56" s="489"/>
      <c r="BC56" s="488"/>
      <c r="BD56" s="488"/>
      <c r="BE56" s="488"/>
      <c r="BF56" s="488"/>
      <c r="BG56" s="488"/>
      <c r="BH56" s="489"/>
      <c r="BI56" s="488"/>
      <c r="BJ56" s="488"/>
      <c r="BK56" s="488"/>
      <c r="BL56" s="488"/>
      <c r="BM56" s="488"/>
      <c r="BN56" s="489"/>
      <c r="BO56" s="497"/>
      <c r="BP56" s="497"/>
      <c r="BQ56" s="497"/>
      <c r="BR56" s="497"/>
      <c r="BS56" s="497"/>
      <c r="BT56" s="498"/>
      <c r="BU56" s="509"/>
      <c r="BV56" s="488"/>
      <c r="BW56" s="488"/>
      <c r="BX56" s="488"/>
      <c r="BY56" s="488"/>
      <c r="BZ56" s="489"/>
      <c r="CA56" s="510"/>
      <c r="CB56" s="462"/>
      <c r="CC56" s="462"/>
      <c r="CD56" s="462"/>
      <c r="CE56" s="462"/>
      <c r="CF56" s="463"/>
      <c r="CG56" s="510"/>
      <c r="CH56" s="462"/>
      <c r="CI56" s="462"/>
      <c r="CJ56" s="462"/>
      <c r="CK56" s="462"/>
      <c r="CL56" s="463"/>
      <c r="CM56" s="510"/>
      <c r="CN56" s="462"/>
      <c r="CO56" s="462"/>
      <c r="CP56" s="462"/>
      <c r="CQ56" s="462"/>
      <c r="CR56" s="463"/>
      <c r="CS56" s="510"/>
      <c r="CT56" s="462"/>
      <c r="CU56" s="462"/>
      <c r="CV56" s="462"/>
      <c r="CW56" s="462"/>
      <c r="CX56" s="463"/>
      <c r="CY56" s="510"/>
      <c r="CZ56" s="462"/>
      <c r="DA56" s="462"/>
      <c r="DB56" s="462"/>
      <c r="DC56" s="462"/>
      <c r="DD56" s="463"/>
      <c r="DE56" s="510"/>
      <c r="DF56" s="462"/>
      <c r="DG56" s="462"/>
      <c r="DH56" s="462"/>
      <c r="DI56" s="462"/>
      <c r="DJ56" s="463"/>
      <c r="DK56" s="510"/>
      <c r="DL56" s="462"/>
      <c r="DM56" s="462"/>
      <c r="DN56" s="462"/>
      <c r="DO56" s="462"/>
      <c r="DP56" s="463"/>
      <c r="DQ56" s="511"/>
      <c r="DR56" s="462"/>
      <c r="DS56" s="462"/>
      <c r="DT56" s="462"/>
      <c r="DU56" s="462"/>
      <c r="DV56" s="463"/>
      <c r="DW56" s="423"/>
      <c r="DX56" s="173"/>
      <c r="DY56" s="174"/>
      <c r="DZ56" s="107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75"/>
      <c r="FC56" s="75"/>
      <c r="FD56" s="75"/>
      <c r="FE56" s="75"/>
      <c r="FF56" s="75"/>
      <c r="FG56" s="75"/>
      <c r="FH56" s="75"/>
      <c r="FI56" s="75"/>
      <c r="FJ56" s="74"/>
      <c r="FO56" s="1" t="s">
        <v>724</v>
      </c>
      <c r="FP56" s="1"/>
      <c r="GL56" s="1"/>
      <c r="GM56" s="1"/>
      <c r="GN56" s="1"/>
      <c r="GO56" s="1"/>
    </row>
    <row r="57" spans="2:214" ht="14.4" customHeight="1" x14ac:dyDescent="0.65">
      <c r="B57" s="107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6"/>
      <c r="AB57" s="163"/>
      <c r="AC57" s="163"/>
      <c r="AD57" s="515"/>
      <c r="AE57" s="145"/>
      <c r="AF57" s="412"/>
      <c r="AG57" s="412"/>
      <c r="AH57" s="412"/>
      <c r="AI57" s="412"/>
      <c r="AJ57" s="412"/>
      <c r="AK57" s="412"/>
      <c r="AL57" s="412"/>
      <c r="AM57" s="412"/>
      <c r="AN57" s="412"/>
      <c r="AO57" s="412"/>
      <c r="AP57" s="412"/>
      <c r="AQ57" s="412"/>
      <c r="AR57" s="412"/>
      <c r="AS57" s="412"/>
      <c r="AT57" s="412"/>
      <c r="AU57" s="412"/>
      <c r="AV57" s="412"/>
      <c r="AW57" s="412"/>
      <c r="AX57" s="412"/>
      <c r="AY57" s="412"/>
      <c r="AZ57" s="412"/>
      <c r="BA57" s="412"/>
      <c r="BB57" s="412"/>
      <c r="BC57" s="412"/>
      <c r="BD57" s="412"/>
      <c r="BE57" s="412"/>
      <c r="BF57" s="412"/>
      <c r="BG57" s="412"/>
      <c r="BH57" s="412"/>
      <c r="BI57" s="412"/>
      <c r="BJ57" s="412"/>
      <c r="BK57" s="412"/>
      <c r="BL57" s="412"/>
      <c r="BM57" s="412"/>
      <c r="BN57" s="412"/>
      <c r="BO57" s="412"/>
      <c r="BP57" s="412"/>
      <c r="BQ57" s="412"/>
      <c r="BR57" s="412"/>
      <c r="BS57" s="412"/>
      <c r="BT57" s="412"/>
      <c r="BU57" s="412"/>
      <c r="BV57" s="412"/>
      <c r="BW57" s="412"/>
      <c r="BX57" s="412"/>
      <c r="BY57" s="412"/>
      <c r="BZ57" s="412"/>
      <c r="CA57" s="412"/>
      <c r="CB57" s="412"/>
      <c r="CC57" s="412"/>
      <c r="CD57" s="412"/>
      <c r="CE57" s="412"/>
      <c r="CF57" s="412"/>
      <c r="CG57" s="412"/>
      <c r="CH57" s="412"/>
      <c r="CI57" s="412"/>
      <c r="CJ57" s="412"/>
      <c r="CK57" s="412"/>
      <c r="CL57" s="412"/>
      <c r="CM57" s="412"/>
      <c r="CN57" s="412"/>
      <c r="CO57" s="412"/>
      <c r="CP57" s="412"/>
      <c r="CQ57" s="412"/>
      <c r="CR57" s="412"/>
      <c r="CS57" s="412"/>
      <c r="CT57" s="412"/>
      <c r="CU57" s="412"/>
      <c r="CV57" s="412"/>
      <c r="CW57" s="412"/>
      <c r="CX57" s="412"/>
      <c r="CY57" s="412"/>
      <c r="CZ57" s="412"/>
      <c r="DA57" s="412"/>
      <c r="DB57" s="412"/>
      <c r="DC57" s="412"/>
      <c r="DD57" s="412"/>
      <c r="DE57" s="412"/>
      <c r="DF57" s="412"/>
      <c r="DG57" s="412"/>
      <c r="DH57" s="412"/>
      <c r="DI57" s="412"/>
      <c r="DJ57" s="412"/>
      <c r="DK57" s="412"/>
      <c r="DL57" s="412"/>
      <c r="DM57" s="412"/>
      <c r="DN57" s="412"/>
      <c r="DO57" s="412"/>
      <c r="DP57" s="412"/>
      <c r="DQ57" s="412"/>
      <c r="DR57" s="412"/>
      <c r="DS57" s="412"/>
      <c r="DT57" s="412"/>
      <c r="DU57" s="412"/>
      <c r="DV57" s="499"/>
      <c r="DW57" s="423"/>
      <c r="DX57" s="173"/>
      <c r="DY57" s="174"/>
      <c r="DZ57" s="107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78"/>
      <c r="FC57" s="78"/>
      <c r="FD57" s="78"/>
      <c r="FE57" s="78"/>
      <c r="FF57" s="78"/>
      <c r="FG57" s="78"/>
      <c r="FH57" s="79"/>
      <c r="FI57" s="79"/>
      <c r="FJ57" s="80"/>
      <c r="FO57" s="1" t="s">
        <v>720</v>
      </c>
      <c r="FP57" s="1"/>
      <c r="GL57" s="1"/>
      <c r="GM57" s="1"/>
      <c r="GN57" s="1"/>
      <c r="GO57" s="1"/>
    </row>
    <row r="58" spans="2:214" ht="14.4" customHeight="1" x14ac:dyDescent="0.65">
      <c r="B58" s="107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6"/>
      <c r="AB58" s="163"/>
      <c r="AC58" s="163"/>
      <c r="AD58" s="516"/>
      <c r="AE58" s="145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12"/>
      <c r="AS58" s="412"/>
      <c r="AT58" s="412"/>
      <c r="AU58" s="412"/>
      <c r="AV58" s="412"/>
      <c r="AW58" s="412"/>
      <c r="AX58" s="412"/>
      <c r="AY58" s="412"/>
      <c r="AZ58" s="412"/>
      <c r="BA58" s="412"/>
      <c r="BB58" s="412"/>
      <c r="BC58" s="412"/>
      <c r="BD58" s="412"/>
      <c r="BE58" s="412"/>
      <c r="BF58" s="412"/>
      <c r="BG58" s="412"/>
      <c r="BH58" s="412"/>
      <c r="BI58" s="412"/>
      <c r="BJ58" s="412"/>
      <c r="BK58" s="412"/>
      <c r="BL58" s="412"/>
      <c r="BM58" s="412"/>
      <c r="BN58" s="412"/>
      <c r="BO58" s="412"/>
      <c r="BP58" s="412"/>
      <c r="BQ58" s="412"/>
      <c r="BR58" s="412"/>
      <c r="BS58" s="412"/>
      <c r="BT58" s="412"/>
      <c r="BU58" s="412"/>
      <c r="BV58" s="412"/>
      <c r="BW58" s="412"/>
      <c r="BX58" s="412"/>
      <c r="BY58" s="412"/>
      <c r="BZ58" s="412"/>
      <c r="CA58" s="412"/>
      <c r="CB58" s="412"/>
      <c r="CC58" s="412"/>
      <c r="CD58" s="412"/>
      <c r="CE58" s="412"/>
      <c r="CF58" s="412"/>
      <c r="CG58" s="412"/>
      <c r="CH58" s="412"/>
      <c r="CI58" s="412"/>
      <c r="CJ58" s="412"/>
      <c r="CK58" s="412"/>
      <c r="CL58" s="412"/>
      <c r="CM58" s="412"/>
      <c r="CN58" s="412"/>
      <c r="CO58" s="412"/>
      <c r="CP58" s="412"/>
      <c r="CQ58" s="412"/>
      <c r="CR58" s="412"/>
      <c r="CS58" s="412"/>
      <c r="CT58" s="412"/>
      <c r="CU58" s="412"/>
      <c r="CV58" s="412"/>
      <c r="CW58" s="412"/>
      <c r="CX58" s="412"/>
      <c r="CY58" s="412"/>
      <c r="CZ58" s="412"/>
      <c r="DA58" s="412"/>
      <c r="DB58" s="412"/>
      <c r="DC58" s="412"/>
      <c r="DD58" s="412"/>
      <c r="DE58" s="412"/>
      <c r="DF58" s="412"/>
      <c r="DG58" s="412"/>
      <c r="DH58" s="412"/>
      <c r="DI58" s="412"/>
      <c r="DJ58" s="412"/>
      <c r="DK58" s="412"/>
      <c r="DL58" s="412"/>
      <c r="DM58" s="412"/>
      <c r="DN58" s="412"/>
      <c r="DO58" s="412"/>
      <c r="DP58" s="412"/>
      <c r="DQ58" s="412"/>
      <c r="DR58" s="412"/>
      <c r="DS58" s="412"/>
      <c r="DT58" s="412"/>
      <c r="DU58" s="412"/>
      <c r="DV58" s="499"/>
      <c r="DW58" s="423"/>
      <c r="DX58" s="173"/>
      <c r="DY58" s="174"/>
      <c r="DZ58" s="107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75"/>
      <c r="FC58" s="75"/>
      <c r="FD58" s="75"/>
      <c r="FE58" s="75"/>
      <c r="FF58" s="75"/>
      <c r="FG58" s="75"/>
      <c r="FH58" s="75"/>
      <c r="FI58" s="75"/>
      <c r="FJ58" s="74"/>
      <c r="FO58" s="1" t="s">
        <v>721</v>
      </c>
      <c r="FP58" s="1"/>
      <c r="GL58"/>
      <c r="GM58" s="1"/>
      <c r="GN58" s="1"/>
      <c r="GO58" s="1"/>
    </row>
    <row r="59" spans="2:214" ht="14.4" customHeight="1" x14ac:dyDescent="0.65">
      <c r="B59" s="107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6"/>
      <c r="AB59" s="149"/>
      <c r="AC59" s="149"/>
      <c r="AD59" s="516"/>
      <c r="AE59" s="433"/>
      <c r="AF59" s="376" t="s">
        <v>584</v>
      </c>
      <c r="AG59" s="377"/>
      <c r="AH59" s="377"/>
      <c r="AI59" s="377"/>
      <c r="AJ59" s="377"/>
      <c r="AK59" s="377"/>
      <c r="AL59" s="377"/>
      <c r="AM59" s="377"/>
      <c r="AN59" s="377"/>
      <c r="AO59" s="377"/>
      <c r="AP59" s="377"/>
      <c r="AQ59" s="377"/>
      <c r="AR59" s="377"/>
      <c r="AS59" s="378"/>
      <c r="AT59" s="374" t="s">
        <v>581</v>
      </c>
      <c r="AU59" s="375"/>
      <c r="AV59" s="375"/>
      <c r="AW59" s="375"/>
      <c r="AX59" s="375"/>
      <c r="AY59" s="375"/>
      <c r="AZ59" s="375"/>
      <c r="BA59" s="375"/>
      <c r="BB59" s="372" t="s">
        <v>577</v>
      </c>
      <c r="BC59" s="372"/>
      <c r="BD59" s="372"/>
      <c r="BE59" s="372"/>
      <c r="BF59" s="372"/>
      <c r="BG59" s="372"/>
      <c r="BH59" s="372"/>
      <c r="BI59" s="373"/>
      <c r="BJ59" s="374" t="s">
        <v>581</v>
      </c>
      <c r="BK59" s="375"/>
      <c r="BL59" s="375"/>
      <c r="BM59" s="375"/>
      <c r="BN59" s="375"/>
      <c r="BO59" s="375"/>
      <c r="BP59" s="375"/>
      <c r="BQ59" s="375"/>
      <c r="BR59" s="372" t="s">
        <v>576</v>
      </c>
      <c r="BS59" s="372"/>
      <c r="BT59" s="372"/>
      <c r="BU59" s="372"/>
      <c r="BV59" s="372"/>
      <c r="BW59" s="372"/>
      <c r="BX59" s="372"/>
      <c r="BY59" s="373"/>
      <c r="BZ59" s="374" t="s">
        <v>581</v>
      </c>
      <c r="CA59" s="375"/>
      <c r="CB59" s="375"/>
      <c r="CC59" s="375"/>
      <c r="CD59" s="375"/>
      <c r="CE59" s="375"/>
      <c r="CF59" s="375"/>
      <c r="CG59" s="375"/>
      <c r="CH59" s="372" t="s">
        <v>575</v>
      </c>
      <c r="CI59" s="372"/>
      <c r="CJ59" s="372"/>
      <c r="CK59" s="372"/>
      <c r="CL59" s="372"/>
      <c r="CM59" s="372"/>
      <c r="CN59" s="372"/>
      <c r="CO59" s="373"/>
      <c r="CP59" s="374" t="s">
        <v>581</v>
      </c>
      <c r="CQ59" s="375"/>
      <c r="CR59" s="375"/>
      <c r="CS59" s="375"/>
      <c r="CT59" s="375"/>
      <c r="CU59" s="375"/>
      <c r="CV59" s="375"/>
      <c r="CW59" s="375"/>
      <c r="CX59" s="372" t="s">
        <v>582</v>
      </c>
      <c r="CY59" s="372"/>
      <c r="CZ59" s="372"/>
      <c r="DA59" s="372"/>
      <c r="DB59" s="372"/>
      <c r="DC59" s="372"/>
      <c r="DD59" s="372"/>
      <c r="DE59" s="373"/>
      <c r="DF59" s="374" t="s">
        <v>581</v>
      </c>
      <c r="DG59" s="375"/>
      <c r="DH59" s="375"/>
      <c r="DI59" s="375"/>
      <c r="DJ59" s="375"/>
      <c r="DK59" s="375"/>
      <c r="DL59" s="375"/>
      <c r="DM59" s="375"/>
      <c r="DN59" s="372" t="s">
        <v>583</v>
      </c>
      <c r="DO59" s="372"/>
      <c r="DP59" s="372"/>
      <c r="DQ59" s="372"/>
      <c r="DR59" s="372"/>
      <c r="DS59" s="372"/>
      <c r="DT59" s="372"/>
      <c r="DU59" s="373"/>
      <c r="DV59" s="141"/>
      <c r="DW59" s="423"/>
      <c r="DX59" s="173"/>
      <c r="DY59" s="174"/>
      <c r="DZ59" s="107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78"/>
      <c r="FC59" s="78"/>
      <c r="FD59" s="78"/>
      <c r="FE59" s="78"/>
      <c r="FF59" s="78"/>
      <c r="FG59" s="78"/>
      <c r="FH59" s="79"/>
      <c r="FI59" s="79"/>
      <c r="FJ59" s="80"/>
      <c r="FO59" s="1" t="s">
        <v>725</v>
      </c>
      <c r="FP59" s="1"/>
      <c r="GI59" s="139"/>
      <c r="GJ59" s="139"/>
      <c r="GK59" s="139"/>
      <c r="GL59"/>
      <c r="GM59" s="1"/>
      <c r="GN59" s="1"/>
      <c r="GO59" s="1"/>
      <c r="GU59" s="139"/>
      <c r="GV59" s="139"/>
      <c r="GW59" s="139"/>
      <c r="GX59" s="139"/>
      <c r="GY59" s="139"/>
      <c r="GZ59" s="139"/>
      <c r="HA59" s="139"/>
      <c r="HB59" s="139"/>
      <c r="HC59" s="139"/>
      <c r="HD59" s="139"/>
      <c r="HE59" s="139"/>
      <c r="HF59" s="139"/>
    </row>
    <row r="60" spans="2:214" ht="14.4" customHeight="1" x14ac:dyDescent="0.65">
      <c r="B60" s="107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6"/>
      <c r="AB60" s="149"/>
      <c r="AC60" s="149"/>
      <c r="AD60" s="427"/>
      <c r="AE60" s="433"/>
      <c r="AF60" s="370" t="s">
        <v>563</v>
      </c>
      <c r="AG60" s="371"/>
      <c r="AH60" s="371"/>
      <c r="AI60" s="367"/>
      <c r="AJ60" s="368"/>
      <c r="AK60" s="368"/>
      <c r="AL60" s="368"/>
      <c r="AM60" s="368"/>
      <c r="AN60" s="368"/>
      <c r="AO60" s="368"/>
      <c r="AP60" s="368"/>
      <c r="AQ60" s="368"/>
      <c r="AR60" s="368"/>
      <c r="AS60" s="369"/>
      <c r="AT60" s="370" t="s">
        <v>580</v>
      </c>
      <c r="AU60" s="371"/>
      <c r="AV60" s="371"/>
      <c r="AW60" s="371"/>
      <c r="AX60" s="371"/>
      <c r="AY60" s="371"/>
      <c r="AZ60" s="371"/>
      <c r="BA60" s="371"/>
      <c r="BB60" s="367"/>
      <c r="BC60" s="368"/>
      <c r="BD60" s="368"/>
      <c r="BE60" s="368"/>
      <c r="BF60" s="368"/>
      <c r="BG60" s="368"/>
      <c r="BH60" s="368"/>
      <c r="BI60" s="369"/>
      <c r="BJ60" s="370" t="s">
        <v>580</v>
      </c>
      <c r="BK60" s="371"/>
      <c r="BL60" s="371"/>
      <c r="BM60" s="371"/>
      <c r="BN60" s="371"/>
      <c r="BO60" s="371"/>
      <c r="BP60" s="371"/>
      <c r="BQ60" s="371"/>
      <c r="BR60" s="367"/>
      <c r="BS60" s="368"/>
      <c r="BT60" s="368"/>
      <c r="BU60" s="368"/>
      <c r="BV60" s="368"/>
      <c r="BW60" s="368"/>
      <c r="BX60" s="368"/>
      <c r="BY60" s="369"/>
      <c r="BZ60" s="370" t="s">
        <v>580</v>
      </c>
      <c r="CA60" s="371"/>
      <c r="CB60" s="371"/>
      <c r="CC60" s="371"/>
      <c r="CD60" s="371"/>
      <c r="CE60" s="371"/>
      <c r="CF60" s="371"/>
      <c r="CG60" s="371"/>
      <c r="CH60" s="367"/>
      <c r="CI60" s="368"/>
      <c r="CJ60" s="368"/>
      <c r="CK60" s="368"/>
      <c r="CL60" s="368"/>
      <c r="CM60" s="368"/>
      <c r="CN60" s="368"/>
      <c r="CO60" s="369"/>
      <c r="CP60" s="370" t="s">
        <v>580</v>
      </c>
      <c r="CQ60" s="371"/>
      <c r="CR60" s="371"/>
      <c r="CS60" s="371"/>
      <c r="CT60" s="371"/>
      <c r="CU60" s="371"/>
      <c r="CV60" s="371"/>
      <c r="CW60" s="371"/>
      <c r="CX60" s="367"/>
      <c r="CY60" s="368"/>
      <c r="CZ60" s="368"/>
      <c r="DA60" s="368"/>
      <c r="DB60" s="368"/>
      <c r="DC60" s="368"/>
      <c r="DD60" s="368"/>
      <c r="DE60" s="369"/>
      <c r="DF60" s="370" t="s">
        <v>580</v>
      </c>
      <c r="DG60" s="371"/>
      <c r="DH60" s="371"/>
      <c r="DI60" s="371"/>
      <c r="DJ60" s="371"/>
      <c r="DK60" s="371"/>
      <c r="DL60" s="371"/>
      <c r="DM60" s="371"/>
      <c r="DN60" s="367"/>
      <c r="DO60" s="368"/>
      <c r="DP60" s="368"/>
      <c r="DQ60" s="368"/>
      <c r="DR60" s="368"/>
      <c r="DS60" s="368"/>
      <c r="DT60" s="368"/>
      <c r="DU60" s="369"/>
      <c r="DV60" s="141"/>
      <c r="DW60" s="428"/>
      <c r="DX60" s="137"/>
      <c r="DY60" s="168"/>
      <c r="DZ60" s="107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78"/>
      <c r="FC60" s="78"/>
      <c r="FD60" s="78"/>
      <c r="FE60" s="78"/>
      <c r="FF60" s="78"/>
      <c r="FG60" s="78"/>
      <c r="FH60" s="79"/>
      <c r="FI60" s="79"/>
      <c r="FJ60" s="80"/>
      <c r="FO60" s="1"/>
      <c r="FP60" s="1"/>
      <c r="GL60"/>
      <c r="GM60" s="1"/>
      <c r="GN60" s="1"/>
      <c r="GO60" s="1"/>
    </row>
    <row r="61" spans="2:214" ht="14.4" customHeight="1" x14ac:dyDescent="0.65">
      <c r="B61" s="107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6"/>
      <c r="AB61" s="149"/>
      <c r="AC61" s="149"/>
      <c r="AD61" s="429"/>
      <c r="AE61" s="434"/>
      <c r="AF61" s="430"/>
      <c r="AG61" s="430"/>
      <c r="AH61" s="430"/>
      <c r="AI61" s="430"/>
      <c r="AJ61" s="430"/>
      <c r="AK61" s="430"/>
      <c r="AL61" s="430"/>
      <c r="AM61" s="430"/>
      <c r="AN61" s="430"/>
      <c r="AO61" s="430"/>
      <c r="AP61" s="430"/>
      <c r="AQ61" s="430"/>
      <c r="AR61" s="430"/>
      <c r="AS61" s="430"/>
      <c r="AT61" s="430"/>
      <c r="AU61" s="430"/>
      <c r="AV61" s="430"/>
      <c r="AW61" s="430"/>
      <c r="AX61" s="430"/>
      <c r="AY61" s="430"/>
      <c r="AZ61" s="430"/>
      <c r="BA61" s="430"/>
      <c r="BB61" s="430"/>
      <c r="BC61" s="430"/>
      <c r="BD61" s="430"/>
      <c r="BE61" s="430"/>
      <c r="BF61" s="430"/>
      <c r="BG61" s="430"/>
      <c r="BH61" s="430"/>
      <c r="BI61" s="430"/>
      <c r="BJ61" s="430"/>
      <c r="BK61" s="430"/>
      <c r="BL61" s="430"/>
      <c r="BM61" s="430"/>
      <c r="BN61" s="430"/>
      <c r="BO61" s="430"/>
      <c r="BP61" s="430"/>
      <c r="BQ61" s="430"/>
      <c r="BR61" s="430"/>
      <c r="BS61" s="430"/>
      <c r="BT61" s="430"/>
      <c r="BU61" s="430"/>
      <c r="BV61" s="430"/>
      <c r="BW61" s="430"/>
      <c r="BX61" s="430"/>
      <c r="BY61" s="430"/>
      <c r="BZ61" s="430"/>
      <c r="CA61" s="430"/>
      <c r="CB61" s="430"/>
      <c r="CC61" s="430"/>
      <c r="CD61" s="430"/>
      <c r="CE61" s="430"/>
      <c r="CF61" s="430"/>
      <c r="CG61" s="430"/>
      <c r="CH61" s="430"/>
      <c r="CI61" s="430"/>
      <c r="CJ61" s="430"/>
      <c r="CK61" s="430"/>
      <c r="CL61" s="430"/>
      <c r="CM61" s="430"/>
      <c r="CN61" s="430"/>
      <c r="CO61" s="430"/>
      <c r="CP61" s="430"/>
      <c r="CQ61" s="430"/>
      <c r="CR61" s="430"/>
      <c r="CS61" s="430"/>
      <c r="CT61" s="430"/>
      <c r="CU61" s="430"/>
      <c r="CV61" s="430"/>
      <c r="CW61" s="430"/>
      <c r="CX61" s="430"/>
      <c r="CY61" s="430"/>
      <c r="CZ61" s="430"/>
      <c r="DA61" s="430"/>
      <c r="DB61" s="430"/>
      <c r="DC61" s="430"/>
      <c r="DD61" s="430"/>
      <c r="DE61" s="430"/>
      <c r="DF61" s="430"/>
      <c r="DG61" s="430"/>
      <c r="DH61" s="430"/>
      <c r="DI61" s="430"/>
      <c r="DJ61" s="430"/>
      <c r="DK61" s="430"/>
      <c r="DL61" s="430"/>
      <c r="DM61" s="430"/>
      <c r="DN61" s="430"/>
      <c r="DO61" s="430"/>
      <c r="DP61" s="430"/>
      <c r="DQ61" s="430"/>
      <c r="DR61" s="430"/>
      <c r="DS61" s="430"/>
      <c r="DT61" s="430"/>
      <c r="DU61" s="430"/>
      <c r="DV61" s="435"/>
      <c r="DW61" s="431"/>
      <c r="DX61" s="137"/>
      <c r="DY61" s="168"/>
      <c r="DZ61" s="107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75"/>
      <c r="FC61" s="75"/>
      <c r="FD61" s="75"/>
      <c r="FE61" s="75"/>
      <c r="FF61" s="75"/>
      <c r="FG61" s="75"/>
      <c r="FH61" s="75"/>
      <c r="FI61" s="75"/>
      <c r="FJ61" s="74"/>
      <c r="FO61" s="132"/>
    </row>
    <row r="62" spans="2:214" ht="14.4" customHeight="1" thickBot="1" x14ac:dyDescent="0.7">
      <c r="B62" s="107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6"/>
      <c r="AB62" s="137"/>
      <c r="AC62" s="137"/>
      <c r="AD62" s="152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9"/>
      <c r="CK62" s="109"/>
      <c r="CL62" s="109"/>
      <c r="CM62" s="109"/>
      <c r="CN62" s="109"/>
      <c r="CO62" s="109"/>
      <c r="CP62" s="109"/>
      <c r="CQ62" s="109"/>
      <c r="CR62" s="109"/>
      <c r="CS62" s="109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9"/>
      <c r="DI62" s="109"/>
      <c r="DJ62" s="109"/>
      <c r="DK62" s="109"/>
      <c r="DL62" s="109"/>
      <c r="DM62" s="109"/>
      <c r="DN62" s="109"/>
      <c r="DO62" s="109"/>
      <c r="DP62" s="109"/>
      <c r="DQ62" s="109"/>
      <c r="DR62" s="108"/>
      <c r="DS62" s="108"/>
      <c r="DT62" s="108"/>
      <c r="DU62" s="108"/>
      <c r="DV62" s="108"/>
      <c r="DW62" s="137"/>
      <c r="DX62" s="137"/>
      <c r="DY62" s="168"/>
      <c r="DZ62" s="107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78"/>
      <c r="FC62" s="78"/>
      <c r="FD62" s="78"/>
      <c r="FE62" s="78"/>
      <c r="FF62" s="78"/>
      <c r="FG62" s="78"/>
      <c r="FH62" s="79"/>
      <c r="FI62" s="79"/>
      <c r="FJ62" s="80"/>
      <c r="FO62" s="132"/>
      <c r="FQ62" s="84"/>
    </row>
    <row r="63" spans="2:214" ht="14.4" customHeight="1" thickTop="1" x14ac:dyDescent="0.65">
      <c r="B63" s="107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6"/>
      <c r="AB63" s="361"/>
      <c r="AC63" s="362"/>
      <c r="AD63" s="362"/>
      <c r="AE63" s="362"/>
      <c r="AF63" s="362"/>
      <c r="AG63" s="362"/>
      <c r="AH63" s="362"/>
      <c r="AI63" s="362"/>
      <c r="AJ63" s="362"/>
      <c r="AK63" s="362"/>
      <c r="AL63" s="362"/>
      <c r="AM63" s="362"/>
      <c r="AN63" s="362"/>
      <c r="AO63" s="362"/>
      <c r="AP63" s="362"/>
      <c r="AQ63" s="362"/>
      <c r="AR63" s="362"/>
      <c r="AS63" s="362"/>
      <c r="AT63" s="362"/>
      <c r="AU63" s="362"/>
      <c r="AV63" s="362"/>
      <c r="AW63" s="362"/>
      <c r="AX63" s="362"/>
      <c r="AY63" s="362"/>
      <c r="AZ63" s="362"/>
      <c r="BA63" s="362"/>
      <c r="BB63" s="362"/>
      <c r="BC63" s="362"/>
      <c r="BD63" s="362"/>
      <c r="BE63" s="362"/>
      <c r="BF63" s="362"/>
      <c r="BG63" s="362"/>
      <c r="BH63" s="362"/>
      <c r="BI63" s="362"/>
      <c r="BJ63" s="110"/>
      <c r="BK63" s="110"/>
      <c r="BL63" s="110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0"/>
      <c r="CA63" s="110"/>
      <c r="CB63" s="110"/>
      <c r="CC63" s="110"/>
      <c r="CD63" s="110"/>
      <c r="CE63" s="110"/>
      <c r="CF63" s="110"/>
      <c r="CG63" s="110"/>
      <c r="CH63" s="110"/>
      <c r="CI63" s="110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0"/>
      <c r="CU63" s="110"/>
      <c r="CV63" s="110"/>
      <c r="CW63" s="110"/>
      <c r="CX63" s="110"/>
      <c r="CY63" s="110"/>
      <c r="CZ63" s="110"/>
      <c r="DA63" s="110"/>
      <c r="DB63" s="110"/>
      <c r="DC63" s="110"/>
      <c r="DD63" s="110"/>
      <c r="DE63" s="110"/>
      <c r="DF63" s="110"/>
      <c r="DG63" s="110"/>
      <c r="DH63" s="111"/>
      <c r="DI63" s="111"/>
      <c r="DJ63" s="111"/>
      <c r="DK63" s="111"/>
      <c r="DL63" s="111"/>
      <c r="DM63" s="111"/>
      <c r="DN63" s="111"/>
      <c r="DO63" s="111"/>
      <c r="DP63" s="111"/>
      <c r="DQ63" s="111"/>
      <c r="DR63" s="110"/>
      <c r="DS63" s="110"/>
      <c r="DT63" s="110"/>
      <c r="DU63" s="110"/>
      <c r="DV63" s="110"/>
      <c r="DW63" s="136"/>
      <c r="DX63" s="136"/>
      <c r="DY63" s="170"/>
      <c r="DZ63" s="107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78"/>
      <c r="FC63" s="78"/>
      <c r="FD63" s="78"/>
      <c r="FE63" s="78"/>
      <c r="FF63" s="78"/>
      <c r="FG63" s="78"/>
      <c r="FH63" s="79"/>
      <c r="FI63" s="79"/>
      <c r="FJ63" s="80"/>
      <c r="FO63" s="132"/>
      <c r="FQ63" s="84"/>
    </row>
    <row r="64" spans="2:214" ht="14.4" customHeight="1" x14ac:dyDescent="0.65">
      <c r="B64" s="107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6"/>
      <c r="AB64" s="363"/>
      <c r="AC64" s="364"/>
      <c r="AD64" s="364"/>
      <c r="AE64" s="364"/>
      <c r="AF64" s="364"/>
      <c r="AG64" s="364"/>
      <c r="AH64" s="364"/>
      <c r="AI64" s="364"/>
      <c r="AJ64" s="364"/>
      <c r="AK64" s="364"/>
      <c r="AL64" s="364"/>
      <c r="AM64" s="364"/>
      <c r="AN64" s="364"/>
      <c r="AO64" s="364"/>
      <c r="AP64" s="364"/>
      <c r="AQ64" s="364"/>
      <c r="AR64" s="364"/>
      <c r="AS64" s="364"/>
      <c r="AT64" s="364"/>
      <c r="AU64" s="364"/>
      <c r="AV64" s="364"/>
      <c r="AW64" s="364"/>
      <c r="AX64" s="364"/>
      <c r="AY64" s="364"/>
      <c r="AZ64" s="364"/>
      <c r="BA64" s="364"/>
      <c r="BB64" s="364"/>
      <c r="BC64" s="364"/>
      <c r="BD64" s="364"/>
      <c r="BE64" s="364"/>
      <c r="BF64" s="364"/>
      <c r="BG64" s="364"/>
      <c r="BH64" s="364"/>
      <c r="BI64" s="364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9"/>
      <c r="BX64" s="109"/>
      <c r="BY64" s="109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37"/>
      <c r="DX64" s="137"/>
      <c r="DY64" s="168"/>
      <c r="DZ64" s="107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75"/>
      <c r="FC64" s="75"/>
      <c r="FD64" s="75"/>
      <c r="FE64" s="75"/>
      <c r="FF64" s="75"/>
      <c r="FG64" s="75"/>
      <c r="FH64" s="75"/>
      <c r="FI64" s="75"/>
      <c r="FJ64" s="74"/>
      <c r="FO64" s="132"/>
      <c r="FQ64" s="84"/>
    </row>
    <row r="65" spans="2:180" s="121" customFormat="1" ht="14.4" customHeight="1" thickBot="1" x14ac:dyDescent="0.7">
      <c r="B65" s="112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4"/>
      <c r="AB65" s="365"/>
      <c r="AC65" s="366"/>
      <c r="AD65" s="366"/>
      <c r="AE65" s="366"/>
      <c r="AF65" s="366"/>
      <c r="AG65" s="366"/>
      <c r="AH65" s="366"/>
      <c r="AI65" s="366"/>
      <c r="AJ65" s="366"/>
      <c r="AK65" s="366"/>
      <c r="AL65" s="366"/>
      <c r="AM65" s="366"/>
      <c r="AN65" s="366"/>
      <c r="AO65" s="366"/>
      <c r="AP65" s="366"/>
      <c r="AQ65" s="366"/>
      <c r="AR65" s="366"/>
      <c r="AS65" s="366"/>
      <c r="AT65" s="366"/>
      <c r="AU65" s="366"/>
      <c r="AV65" s="366"/>
      <c r="AW65" s="366"/>
      <c r="AX65" s="366"/>
      <c r="AY65" s="366"/>
      <c r="AZ65" s="366"/>
      <c r="BA65" s="366"/>
      <c r="BB65" s="366"/>
      <c r="BC65" s="366"/>
      <c r="BD65" s="366"/>
      <c r="BE65" s="366"/>
      <c r="BF65" s="366"/>
      <c r="BG65" s="366"/>
      <c r="BH65" s="366"/>
      <c r="BI65" s="366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6"/>
      <c r="BX65" s="116"/>
      <c r="BY65" s="116"/>
      <c r="BZ65" s="115"/>
      <c r="CA65" s="115"/>
      <c r="CB65" s="115"/>
      <c r="CC65" s="115"/>
      <c r="CD65" s="115"/>
      <c r="CE65" s="115"/>
      <c r="CF65" s="115"/>
      <c r="CG65" s="115"/>
      <c r="CH65" s="115"/>
      <c r="CI65" s="115"/>
      <c r="CJ65" s="115"/>
      <c r="CK65" s="115"/>
      <c r="CL65" s="115"/>
      <c r="CM65" s="115"/>
      <c r="CN65" s="115"/>
      <c r="CO65" s="115"/>
      <c r="CP65" s="115"/>
      <c r="CQ65" s="115"/>
      <c r="CR65" s="115"/>
      <c r="CS65" s="115"/>
      <c r="CT65" s="115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38"/>
      <c r="DX65" s="138"/>
      <c r="DY65" s="171"/>
      <c r="DZ65" s="112"/>
      <c r="EA65" s="113"/>
      <c r="EB65" s="113"/>
      <c r="EC65" s="113"/>
      <c r="ED65" s="113"/>
      <c r="EE65" s="113"/>
      <c r="EF65" s="113"/>
      <c r="EG65" s="113"/>
      <c r="EH65" s="113"/>
      <c r="EI65" s="113"/>
      <c r="EJ65" s="113"/>
      <c r="EK65" s="113"/>
      <c r="EL65" s="113"/>
      <c r="EM65" s="113"/>
      <c r="EN65" s="113"/>
      <c r="EO65" s="113"/>
      <c r="EP65" s="113"/>
      <c r="EQ65" s="113"/>
      <c r="ER65" s="113"/>
      <c r="ES65" s="113"/>
      <c r="ET65" s="113"/>
      <c r="EU65" s="113"/>
      <c r="EV65" s="113"/>
      <c r="EW65" s="113"/>
      <c r="EX65" s="113"/>
      <c r="EY65" s="113"/>
      <c r="EZ65" s="113"/>
      <c r="FA65" s="113"/>
      <c r="FB65" s="81"/>
      <c r="FC65" s="81"/>
      <c r="FD65" s="81"/>
      <c r="FE65" s="81"/>
      <c r="FF65" s="81"/>
      <c r="FG65" s="81"/>
      <c r="FH65" s="82"/>
      <c r="FI65" s="82"/>
      <c r="FJ65" s="83"/>
      <c r="FK65" s="84"/>
      <c r="FL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</row>
    <row r="66" spans="2:180" s="121" customFormat="1" ht="14.4" customHeight="1" thickTop="1" x14ac:dyDescent="0.65"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133"/>
      <c r="AC66" s="133"/>
      <c r="AD66" s="153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133"/>
      <c r="DX66" s="133"/>
      <c r="DY66" s="133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O66" s="132"/>
      <c r="FR66" s="84"/>
      <c r="FS66" s="84"/>
      <c r="FT66" s="84"/>
      <c r="FU66" s="84"/>
      <c r="FV66" s="84"/>
      <c r="FW66" s="84"/>
      <c r="FX66" s="84"/>
    </row>
    <row r="67" spans="2:180" s="121" customFormat="1" ht="14.4" customHeight="1" x14ac:dyDescent="0.65"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133"/>
      <c r="AC67" s="133"/>
      <c r="AD67" s="153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3"/>
      <c r="BX67" s="73"/>
      <c r="BY67" s="73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3"/>
      <c r="CU67" s="73"/>
      <c r="CV67" s="73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3"/>
      <c r="DS67" s="73"/>
      <c r="DT67" s="71"/>
      <c r="DU67" s="71"/>
      <c r="DV67" s="71"/>
      <c r="DW67" s="133"/>
      <c r="DX67" s="133"/>
      <c r="DY67" s="133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O67" s="132"/>
      <c r="FR67" s="84"/>
      <c r="FS67" s="84"/>
      <c r="FT67" s="84"/>
      <c r="FU67" s="84"/>
      <c r="FV67" s="84"/>
      <c r="FW67" s="84"/>
      <c r="FX67" s="84"/>
    </row>
    <row r="68" spans="2:180" s="121" customFormat="1" ht="14.4" customHeight="1" x14ac:dyDescent="0.65"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133"/>
      <c r="AC68" s="133"/>
      <c r="AD68" s="153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2"/>
      <c r="AP68" s="72"/>
      <c r="AQ68" s="72"/>
      <c r="AR68" s="72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133"/>
      <c r="DX68" s="133"/>
      <c r="DY68" s="133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X68" s="84"/>
      <c r="EY68" s="84"/>
      <c r="EZ68" s="84"/>
      <c r="FA68" s="84"/>
      <c r="FB68" s="133" t="s">
        <v>568</v>
      </c>
      <c r="FC68" s="84"/>
      <c r="FD68" s="84"/>
      <c r="FO68" s="132"/>
      <c r="FR68" s="84"/>
      <c r="FS68" s="84"/>
      <c r="FT68" s="84"/>
      <c r="FU68" s="84"/>
      <c r="FV68" s="84"/>
      <c r="FW68" s="84"/>
      <c r="FX68" s="84"/>
    </row>
    <row r="69" spans="2:180" s="121" customFormat="1" ht="14.4" customHeight="1" x14ac:dyDescent="0.65"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133"/>
      <c r="AC69" s="133"/>
      <c r="AD69" s="15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117"/>
      <c r="AP69" s="117"/>
      <c r="AQ69" s="117"/>
      <c r="AR69" s="117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133"/>
      <c r="DX69" s="133"/>
      <c r="DY69" s="133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X69" s="84" t="s">
        <v>568</v>
      </c>
      <c r="EY69" s="84"/>
      <c r="EZ69" s="84"/>
      <c r="FA69" s="84"/>
      <c r="FB69" s="133">
        <v>400</v>
      </c>
      <c r="FC69" s="84"/>
      <c r="FD69" s="84"/>
      <c r="FO69" s="132"/>
      <c r="FR69" s="84"/>
      <c r="FS69" s="84"/>
      <c r="FT69" s="84"/>
      <c r="FU69" s="84"/>
      <c r="FV69" s="84"/>
      <c r="FW69" s="84"/>
      <c r="FX69" s="84"/>
    </row>
    <row r="70" spans="2:180" s="121" customFormat="1" ht="14.4" customHeight="1" x14ac:dyDescent="0.65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133"/>
      <c r="AC70" s="133"/>
      <c r="AD70" s="153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172"/>
      <c r="DX70" s="172"/>
      <c r="DY70" s="172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 t="s">
        <v>616</v>
      </c>
      <c r="EY70" s="84"/>
      <c r="EZ70" s="84"/>
      <c r="FA70" s="84"/>
      <c r="FB70" s="133">
        <v>600</v>
      </c>
      <c r="FC70" s="84"/>
      <c r="FD70" s="84"/>
      <c r="FR70" s="84"/>
      <c r="FS70" s="84"/>
      <c r="FT70" s="84"/>
      <c r="FU70" s="84"/>
      <c r="FV70" s="84"/>
      <c r="FW70" s="84"/>
      <c r="FX70" s="84"/>
    </row>
    <row r="71" spans="2:180" s="121" customFormat="1" ht="14.4" customHeight="1" x14ac:dyDescent="0.65"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133"/>
      <c r="AC71" s="133"/>
      <c r="AD71" s="153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172"/>
      <c r="DX71" s="172"/>
      <c r="DY71" s="172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D71" s="131"/>
      <c r="FE71" s="131"/>
      <c r="FF71" s="131"/>
      <c r="FG71" s="131"/>
      <c r="FH71" s="131"/>
      <c r="FI71" s="131"/>
      <c r="FJ71" s="131"/>
      <c r="FK71" s="131"/>
      <c r="FL71" s="131"/>
      <c r="FM71" s="131"/>
      <c r="FN71" s="131"/>
      <c r="FO71" s="131"/>
      <c r="FR71" s="84"/>
      <c r="FS71" s="84"/>
      <c r="FT71" s="84"/>
      <c r="FU71" s="84"/>
      <c r="FV71" s="84"/>
      <c r="FW71" s="84"/>
      <c r="FX71" s="84"/>
    </row>
    <row r="72" spans="2:180" s="121" customFormat="1" ht="14.4" customHeight="1" x14ac:dyDescent="0.65"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133"/>
      <c r="AC72" s="133"/>
      <c r="AD72" s="15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172"/>
      <c r="DX72" s="172"/>
      <c r="DY72" s="172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Y72" s="84"/>
      <c r="EZ72" s="84"/>
      <c r="FD72" s="131"/>
      <c r="FE72" s="131"/>
      <c r="FF72" s="131"/>
      <c r="FG72" s="131"/>
      <c r="FH72" s="131"/>
      <c r="FI72" s="131"/>
      <c r="FJ72" s="131"/>
      <c r="FK72" s="131"/>
      <c r="FL72" s="131"/>
      <c r="FM72" s="131"/>
      <c r="FN72" s="131"/>
      <c r="FO72" s="131"/>
      <c r="FR72" s="84"/>
      <c r="FS72" s="84"/>
      <c r="FT72" s="84"/>
      <c r="FU72" s="84"/>
      <c r="FV72" s="84"/>
      <c r="FW72" s="84"/>
      <c r="FX72" s="84"/>
    </row>
    <row r="73" spans="2:180" s="121" customFormat="1" ht="14.4" customHeight="1" x14ac:dyDescent="0.65"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133"/>
      <c r="AC73" s="133"/>
      <c r="AD73" s="15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172"/>
      <c r="DX73" s="172"/>
      <c r="DY73" s="172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FD73" s="131"/>
      <c r="FE73" s="131"/>
      <c r="FF73" s="131"/>
      <c r="FG73" s="131"/>
      <c r="FH73" s="131"/>
      <c r="FI73" s="131"/>
      <c r="FJ73" s="131"/>
      <c r="FK73" s="131"/>
      <c r="FL73" s="131"/>
      <c r="FM73" s="131"/>
      <c r="FN73" s="131"/>
      <c r="FO73" s="131"/>
      <c r="FR73" s="84"/>
      <c r="FS73" s="84"/>
      <c r="FT73" s="84"/>
      <c r="FU73" s="84"/>
      <c r="FV73" s="84"/>
      <c r="FW73" s="84"/>
      <c r="FX73" s="84"/>
    </row>
    <row r="74" spans="2:180" s="121" customFormat="1" ht="14.4" customHeight="1" x14ac:dyDescent="0.65"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133"/>
      <c r="AC74" s="133"/>
      <c r="AD74" s="15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73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133"/>
      <c r="DX74" s="133"/>
      <c r="DY74" s="133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FD74" s="131"/>
      <c r="FE74" s="131"/>
      <c r="FF74" s="131"/>
      <c r="FG74" s="131"/>
      <c r="FH74" s="131"/>
      <c r="FI74" s="131"/>
      <c r="FJ74" s="131"/>
      <c r="FK74" s="131"/>
      <c r="FL74" s="131"/>
      <c r="FM74" s="131"/>
      <c r="FN74" s="131"/>
      <c r="FO74" s="131"/>
      <c r="FR74" s="84"/>
      <c r="FS74" s="84"/>
      <c r="FT74" s="84"/>
      <c r="FU74" s="84"/>
      <c r="FV74" s="84"/>
      <c r="FW74" s="84"/>
      <c r="FX74" s="84"/>
    </row>
    <row r="75" spans="2:180" s="121" customFormat="1" ht="14.4" customHeight="1" x14ac:dyDescent="0.65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133"/>
      <c r="AC75" s="133"/>
      <c r="AD75" s="15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73"/>
      <c r="CA75" s="73"/>
      <c r="CB75" s="73"/>
      <c r="CC75" s="73"/>
      <c r="CD75" s="73"/>
      <c r="CE75" s="84"/>
      <c r="CF75" s="84"/>
      <c r="CG75" s="84"/>
      <c r="CH75" s="84"/>
      <c r="CI75" s="84"/>
      <c r="CJ75" s="84"/>
      <c r="CK75" s="84"/>
      <c r="CL75" s="84"/>
      <c r="CM75" s="117"/>
      <c r="CN75" s="117"/>
      <c r="CO75" s="117"/>
      <c r="CP75" s="117"/>
      <c r="CQ75" s="117"/>
      <c r="CR75" s="117"/>
      <c r="CS75" s="117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117"/>
      <c r="DI75" s="117"/>
      <c r="DJ75" s="117"/>
      <c r="DK75" s="117"/>
      <c r="DL75" s="117"/>
      <c r="DM75" s="117"/>
      <c r="DN75" s="117"/>
      <c r="DO75" s="117"/>
      <c r="DP75" s="117"/>
      <c r="DQ75" s="117"/>
      <c r="DR75" s="73"/>
      <c r="DS75" s="73"/>
      <c r="DT75" s="73"/>
      <c r="DU75" s="73"/>
      <c r="DV75" s="73"/>
      <c r="DW75" s="133"/>
      <c r="DX75" s="133"/>
      <c r="DY75" s="133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FD75" s="131"/>
      <c r="FE75" s="131"/>
      <c r="FF75" s="131"/>
      <c r="FG75" s="131"/>
      <c r="FH75" s="131"/>
      <c r="FI75" s="131"/>
      <c r="FJ75" s="131"/>
      <c r="FK75" s="131"/>
      <c r="FL75" s="131"/>
      <c r="FM75" s="131"/>
      <c r="FN75" s="131"/>
      <c r="FO75" s="131"/>
      <c r="FR75" s="84"/>
      <c r="FS75" s="84"/>
      <c r="FT75" s="84"/>
      <c r="FU75" s="84"/>
      <c r="FV75" s="84"/>
      <c r="FW75" s="84"/>
      <c r="FX75" s="84"/>
    </row>
    <row r="76" spans="2:180" s="121" customFormat="1" ht="14.4" customHeight="1" x14ac:dyDescent="0.65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133"/>
      <c r="AC76" s="133"/>
      <c r="AD76" s="15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117"/>
      <c r="BN76" s="117"/>
      <c r="BO76" s="117"/>
      <c r="BP76" s="117"/>
      <c r="BQ76" s="117"/>
      <c r="BR76" s="117"/>
      <c r="BS76" s="117"/>
      <c r="BT76" s="117"/>
      <c r="BU76" s="117"/>
      <c r="BV76" s="117"/>
      <c r="BW76" s="117"/>
      <c r="BX76" s="117"/>
      <c r="BY76" s="117"/>
      <c r="BZ76" s="73"/>
      <c r="CA76" s="73"/>
      <c r="CB76" s="73"/>
      <c r="CC76" s="73"/>
      <c r="CD76" s="73"/>
      <c r="CE76" s="84"/>
      <c r="CF76" s="84"/>
      <c r="CG76" s="84"/>
      <c r="CH76" s="84"/>
      <c r="CI76" s="84"/>
      <c r="CJ76" s="84"/>
      <c r="CK76" s="84"/>
      <c r="CL76" s="84"/>
      <c r="CM76" s="117"/>
      <c r="CN76" s="117"/>
      <c r="CO76" s="117"/>
      <c r="CP76" s="117"/>
      <c r="CQ76" s="117"/>
      <c r="CR76" s="117"/>
      <c r="CS76" s="117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117"/>
      <c r="DI76" s="117"/>
      <c r="DJ76" s="117"/>
      <c r="DK76" s="117"/>
      <c r="DL76" s="117"/>
      <c r="DM76" s="117"/>
      <c r="DN76" s="117"/>
      <c r="DO76" s="117"/>
      <c r="DP76" s="117"/>
      <c r="DQ76" s="117"/>
      <c r="DR76" s="73"/>
      <c r="DS76" s="73"/>
      <c r="DT76" s="73"/>
      <c r="DU76" s="73"/>
      <c r="DV76" s="73"/>
      <c r="DW76" s="133"/>
      <c r="DX76" s="133"/>
      <c r="DY76" s="133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FD76" s="131"/>
      <c r="FE76" s="131"/>
      <c r="FF76" s="131"/>
      <c r="FG76" s="131"/>
      <c r="FH76" s="131"/>
      <c r="FI76" s="131"/>
      <c r="FJ76" s="131"/>
      <c r="FK76" s="131"/>
      <c r="FL76" s="131"/>
      <c r="FM76" s="131"/>
      <c r="FN76" s="131"/>
      <c r="FO76" s="131"/>
      <c r="FR76" s="84"/>
      <c r="FS76" s="84"/>
      <c r="FT76" s="84"/>
      <c r="FU76" s="84"/>
      <c r="FV76" s="84"/>
      <c r="FW76" s="84"/>
      <c r="FX76" s="84"/>
    </row>
    <row r="77" spans="2:180" s="121" customFormat="1" ht="14.4" customHeight="1" x14ac:dyDescent="0.65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133"/>
      <c r="AC77" s="133"/>
      <c r="AD77" s="15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117"/>
      <c r="CK77" s="117"/>
      <c r="CL77" s="117"/>
      <c r="CM77" s="117"/>
      <c r="CN77" s="117"/>
      <c r="CO77" s="117"/>
      <c r="CP77" s="117"/>
      <c r="CQ77" s="117"/>
      <c r="CR77" s="117"/>
      <c r="CS77" s="117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117"/>
      <c r="DI77" s="117"/>
      <c r="DJ77" s="117"/>
      <c r="DK77" s="117"/>
      <c r="DL77" s="117"/>
      <c r="DM77" s="117"/>
      <c r="DN77" s="117"/>
      <c r="DO77" s="117"/>
      <c r="DP77" s="117"/>
      <c r="DQ77" s="117"/>
      <c r="DR77" s="73"/>
      <c r="DS77" s="73"/>
      <c r="DT77" s="73"/>
      <c r="DU77" s="73"/>
      <c r="DV77" s="73"/>
      <c r="DW77" s="133"/>
      <c r="DX77" s="133"/>
      <c r="DY77" s="133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FD77" s="131"/>
      <c r="FE77" s="131"/>
      <c r="FF77" s="131"/>
      <c r="FG77" s="131"/>
      <c r="FH77" s="131"/>
      <c r="FI77" s="131"/>
      <c r="FJ77" s="131"/>
      <c r="FK77" s="131"/>
      <c r="FL77" s="131"/>
      <c r="FM77" s="131"/>
      <c r="FN77" s="131"/>
      <c r="FO77" s="131"/>
      <c r="FR77" s="84"/>
      <c r="FS77" s="84"/>
      <c r="FT77" s="84"/>
      <c r="FU77" s="84"/>
      <c r="FV77" s="84"/>
      <c r="FW77" s="84"/>
      <c r="FX77" s="84"/>
    </row>
    <row r="78" spans="2:180" s="121" customFormat="1" ht="14.4" customHeight="1" x14ac:dyDescent="0.65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133"/>
      <c r="AC78" s="133"/>
      <c r="AD78" s="15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117"/>
      <c r="BN78" s="117"/>
      <c r="BO78" s="117"/>
      <c r="BP78" s="117"/>
      <c r="BQ78" s="117"/>
      <c r="BR78" s="117"/>
      <c r="BS78" s="117"/>
      <c r="BT78" s="117"/>
      <c r="BU78" s="117"/>
      <c r="BV78" s="117"/>
      <c r="BW78" s="117"/>
      <c r="BX78" s="117"/>
      <c r="BY78" s="117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117"/>
      <c r="CK78" s="117"/>
      <c r="CL78" s="117"/>
      <c r="CM78" s="117"/>
      <c r="CN78" s="117"/>
      <c r="CO78" s="117"/>
      <c r="CP78" s="117"/>
      <c r="CQ78" s="117"/>
      <c r="CR78" s="117"/>
      <c r="CS78" s="117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117"/>
      <c r="DI78" s="117"/>
      <c r="DJ78" s="117"/>
      <c r="DK78" s="117"/>
      <c r="DL78" s="117"/>
      <c r="DM78" s="117"/>
      <c r="DN78" s="117"/>
      <c r="DO78" s="117"/>
      <c r="DP78" s="117"/>
      <c r="DQ78" s="117"/>
      <c r="DR78" s="73"/>
      <c r="DS78" s="73"/>
      <c r="DT78" s="73"/>
      <c r="DU78" s="73"/>
      <c r="DV78" s="73"/>
      <c r="DW78" s="133"/>
      <c r="DX78" s="133"/>
      <c r="DY78" s="133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X78" s="84"/>
      <c r="FB78" s="84"/>
      <c r="FR78" s="84"/>
      <c r="FS78" s="84"/>
      <c r="FT78" s="84"/>
      <c r="FU78" s="84"/>
      <c r="FV78" s="84"/>
      <c r="FW78" s="84"/>
      <c r="FX78" s="84"/>
    </row>
    <row r="79" spans="2:180" s="121" customFormat="1" ht="14.4" customHeight="1" x14ac:dyDescent="0.65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133"/>
      <c r="AC79" s="133"/>
      <c r="AD79" s="15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117"/>
      <c r="BN79" s="117"/>
      <c r="BO79" s="117"/>
      <c r="BP79" s="117"/>
      <c r="BQ79" s="117"/>
      <c r="BR79" s="117"/>
      <c r="BS79" s="117"/>
      <c r="BT79" s="117"/>
      <c r="BU79" s="117"/>
      <c r="BV79" s="117"/>
      <c r="BW79" s="117"/>
      <c r="BX79" s="117"/>
      <c r="BY79" s="117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117"/>
      <c r="CK79" s="117"/>
      <c r="CL79" s="117"/>
      <c r="CM79" s="117"/>
      <c r="CN79" s="117"/>
      <c r="CO79" s="117"/>
      <c r="CP79" s="117"/>
      <c r="CQ79" s="117"/>
      <c r="CR79" s="117"/>
      <c r="CS79" s="117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117"/>
      <c r="DI79" s="117"/>
      <c r="DJ79" s="117"/>
      <c r="DK79" s="117"/>
      <c r="DL79" s="117"/>
      <c r="DM79" s="117"/>
      <c r="DN79" s="117"/>
      <c r="DO79" s="117"/>
      <c r="DP79" s="117"/>
      <c r="DQ79" s="117"/>
      <c r="DR79" s="73"/>
      <c r="DS79" s="73"/>
      <c r="DT79" s="73"/>
      <c r="DU79" s="73"/>
      <c r="DV79" s="73"/>
      <c r="DW79" s="133"/>
      <c r="DX79" s="133"/>
      <c r="DY79" s="133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R79" s="84"/>
      <c r="FS79" s="84"/>
      <c r="FT79" s="84"/>
      <c r="FU79" s="84"/>
      <c r="FV79" s="84"/>
      <c r="FW79" s="84"/>
      <c r="FX79" s="84"/>
    </row>
    <row r="80" spans="2:180" s="121" customFormat="1" ht="14.4" customHeight="1" x14ac:dyDescent="0.65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133"/>
      <c r="AC80" s="133"/>
      <c r="AD80" s="15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117"/>
      <c r="AZ80" s="117"/>
      <c r="BA80" s="117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117"/>
      <c r="BX80" s="117"/>
      <c r="BY80" s="117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133"/>
      <c r="DX80" s="133"/>
      <c r="DY80" s="133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R80" s="84"/>
      <c r="FS80" s="84"/>
      <c r="FT80" s="84"/>
      <c r="FU80" s="84"/>
      <c r="FV80" s="84"/>
      <c r="FW80" s="84"/>
      <c r="FX80" s="84"/>
    </row>
    <row r="81" spans="31:126" ht="14.4" customHeight="1" x14ac:dyDescent="0.65"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</row>
    <row r="82" spans="31:126" ht="14.4" customHeight="1" x14ac:dyDescent="0.65"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2"/>
      <c r="AR82" s="342"/>
      <c r="AS82" s="342"/>
      <c r="AT82" s="342"/>
      <c r="AU82" s="342"/>
      <c r="AV82" s="342"/>
      <c r="AW82" s="342"/>
      <c r="AX82" s="342"/>
      <c r="AY82" s="342"/>
      <c r="AZ82" s="342"/>
      <c r="BA82" s="342"/>
      <c r="BB82" s="342"/>
      <c r="BC82" s="342"/>
      <c r="BD82" s="342"/>
      <c r="BE82" s="342"/>
      <c r="BF82" s="342"/>
      <c r="BG82" s="342"/>
      <c r="BH82" s="342"/>
      <c r="BI82" s="342"/>
      <c r="BJ82" s="342"/>
      <c r="BK82" s="342"/>
      <c r="BL82" s="342"/>
      <c r="BM82" s="342"/>
      <c r="BN82" s="342"/>
      <c r="BO82" s="342"/>
      <c r="BP82" s="342"/>
      <c r="BQ82" s="342"/>
      <c r="BR82" s="342"/>
      <c r="BS82" s="342"/>
      <c r="BT82" s="342"/>
      <c r="BU82" s="342"/>
      <c r="BV82" s="342"/>
      <c r="BW82" s="342"/>
      <c r="BX82" s="342"/>
      <c r="BY82" s="342"/>
      <c r="BZ82" s="342"/>
      <c r="CA82" s="342"/>
      <c r="CB82" s="342"/>
      <c r="CC82" s="342"/>
      <c r="CD82" s="342"/>
      <c r="CE82" s="342"/>
      <c r="CF82" s="342"/>
      <c r="CG82" s="342"/>
      <c r="CH82" s="342"/>
      <c r="CI82" s="342"/>
      <c r="CJ82" s="342"/>
      <c r="CK82" s="342"/>
    </row>
    <row r="83" spans="31:126" ht="14.4" customHeight="1" x14ac:dyDescent="0.65">
      <c r="AE83" s="342"/>
      <c r="AF83" s="342"/>
      <c r="AG83" s="342"/>
      <c r="AH83" s="342"/>
      <c r="AI83" s="342"/>
      <c r="AJ83" s="342"/>
      <c r="AK83" s="342"/>
      <c r="AL83" s="342"/>
      <c r="AM83" s="342"/>
      <c r="AN83" s="342"/>
      <c r="AO83" s="342"/>
      <c r="AP83" s="342"/>
      <c r="AQ83" s="342"/>
      <c r="AR83" s="342"/>
      <c r="AS83" s="342"/>
      <c r="AT83" s="342"/>
      <c r="AU83" s="342"/>
      <c r="AV83" s="342"/>
      <c r="AW83" s="342"/>
      <c r="AX83" s="342"/>
      <c r="AY83" s="342"/>
      <c r="AZ83" s="342"/>
      <c r="BA83" s="342"/>
      <c r="BB83" s="342"/>
      <c r="BC83" s="342"/>
      <c r="BD83" s="342"/>
      <c r="BE83" s="342"/>
      <c r="BF83" s="342"/>
      <c r="BG83" s="342"/>
      <c r="BH83" s="342"/>
      <c r="BI83" s="342"/>
      <c r="BJ83" s="342"/>
      <c r="BK83" s="342"/>
      <c r="BL83" s="342"/>
      <c r="BM83" s="342"/>
      <c r="BN83" s="342"/>
      <c r="BO83" s="342"/>
      <c r="BP83" s="342"/>
      <c r="BQ83" s="342"/>
      <c r="BR83" s="342"/>
      <c r="BS83" s="342"/>
      <c r="BT83" s="342"/>
      <c r="BU83" s="342"/>
      <c r="BV83" s="342"/>
      <c r="BW83" s="342"/>
      <c r="BX83" s="342"/>
      <c r="BY83" s="342"/>
      <c r="BZ83" s="342"/>
      <c r="CA83" s="342"/>
      <c r="CB83" s="342"/>
      <c r="CC83" s="342"/>
      <c r="CD83" s="342"/>
      <c r="CE83" s="342"/>
      <c r="CF83" s="342"/>
      <c r="CG83" s="342"/>
      <c r="CH83" s="342"/>
      <c r="CI83" s="342"/>
      <c r="CJ83" s="342"/>
      <c r="CK83" s="342"/>
    </row>
    <row r="84" spans="31:126" ht="10" customHeight="1" x14ac:dyDescent="0.65"/>
    <row r="85" spans="31:126" ht="10" customHeight="1" x14ac:dyDescent="0.65"/>
    <row r="86" spans="31:126" ht="10" customHeight="1" x14ac:dyDescent="0.65"/>
    <row r="87" spans="31:126" ht="10" customHeight="1" x14ac:dyDescent="0.65"/>
    <row r="88" spans="31:126" ht="10" customHeight="1" x14ac:dyDescent="0.65"/>
    <row r="89" spans="31:126" ht="10" customHeight="1" x14ac:dyDescent="0.65"/>
    <row r="90" spans="31:126" ht="10" customHeight="1" x14ac:dyDescent="0.65"/>
    <row r="91" spans="31:126" ht="10" customHeight="1" x14ac:dyDescent="0.65"/>
    <row r="92" spans="31:126" ht="10" customHeight="1" x14ac:dyDescent="0.65"/>
    <row r="93" spans="31:126" ht="10" customHeight="1" x14ac:dyDescent="0.65"/>
    <row r="94" spans="31:126" ht="10" customHeight="1" x14ac:dyDescent="0.65"/>
    <row r="95" spans="31:126" ht="10" customHeight="1" x14ac:dyDescent="0.65"/>
    <row r="96" spans="31:126" ht="10" customHeight="1" x14ac:dyDescent="0.65"/>
    <row r="97" ht="10" customHeight="1" x14ac:dyDescent="0.65"/>
    <row r="98" ht="10" customHeight="1" x14ac:dyDescent="0.65"/>
    <row r="99" ht="10" customHeight="1" x14ac:dyDescent="0.65"/>
    <row r="100" ht="10" customHeight="1" x14ac:dyDescent="0.65"/>
    <row r="101" ht="10" customHeight="1" x14ac:dyDescent="0.65"/>
    <row r="102" ht="10" customHeight="1" x14ac:dyDescent="0.65"/>
    <row r="103" ht="10" customHeight="1" x14ac:dyDescent="0.65"/>
    <row r="104" ht="10" customHeight="1" x14ac:dyDescent="0.65"/>
    <row r="105" ht="10" customHeight="1" x14ac:dyDescent="0.65"/>
    <row r="106" ht="10" customHeight="1" x14ac:dyDescent="0.65"/>
    <row r="107" ht="10" customHeight="1" x14ac:dyDescent="0.65"/>
    <row r="108" ht="10" customHeight="1" x14ac:dyDescent="0.65"/>
    <row r="109" ht="10" customHeight="1" x14ac:dyDescent="0.65"/>
    <row r="110" ht="10" customHeight="1" x14ac:dyDescent="0.65"/>
    <row r="111" ht="10" customHeight="1" x14ac:dyDescent="0.65"/>
    <row r="112" ht="10" customHeight="1" x14ac:dyDescent="0.65"/>
    <row r="113" ht="10" customHeight="1" x14ac:dyDescent="0.65"/>
    <row r="114" ht="10" customHeight="1" x14ac:dyDescent="0.65"/>
    <row r="115" ht="10" customHeight="1" x14ac:dyDescent="0.65"/>
    <row r="116" ht="10" customHeight="1" x14ac:dyDescent="0.65"/>
    <row r="117" ht="10" customHeight="1" x14ac:dyDescent="0.65"/>
    <row r="118" ht="10" customHeight="1" x14ac:dyDescent="0.65"/>
    <row r="119" ht="10" customHeight="1" x14ac:dyDescent="0.65"/>
    <row r="120" ht="10" customHeight="1" x14ac:dyDescent="0.65"/>
    <row r="121" ht="10" customHeight="1" x14ac:dyDescent="0.65"/>
    <row r="122" ht="10" customHeight="1" x14ac:dyDescent="0.65"/>
    <row r="123" ht="10" customHeight="1" x14ac:dyDescent="0.65"/>
    <row r="124" ht="10" customHeight="1" x14ac:dyDescent="0.65"/>
    <row r="125" ht="10" customHeight="1" x14ac:dyDescent="0.65"/>
    <row r="126" ht="10" customHeight="1" x14ac:dyDescent="0.65"/>
    <row r="127" ht="10" customHeight="1" x14ac:dyDescent="0.65"/>
    <row r="128" ht="10" customHeight="1" x14ac:dyDescent="0.65"/>
    <row r="129" ht="10" customHeight="1" x14ac:dyDescent="0.65"/>
    <row r="130" ht="10" customHeight="1" x14ac:dyDescent="0.65"/>
    <row r="131" ht="10" customHeight="1" x14ac:dyDescent="0.65"/>
    <row r="132" ht="10" customHeight="1" x14ac:dyDescent="0.65"/>
    <row r="133" ht="10" customHeight="1" x14ac:dyDescent="0.65"/>
    <row r="134" ht="10" customHeight="1" x14ac:dyDescent="0.65"/>
    <row r="135" ht="10" customHeight="1" x14ac:dyDescent="0.65"/>
    <row r="136" ht="10" customHeight="1" x14ac:dyDescent="0.65"/>
    <row r="137" ht="10" customHeight="1" x14ac:dyDescent="0.65"/>
    <row r="138" ht="10" customHeight="1" x14ac:dyDescent="0.65"/>
    <row r="139" ht="10" customHeight="1" x14ac:dyDescent="0.65"/>
    <row r="140" ht="10" customHeight="1" x14ac:dyDescent="0.65"/>
    <row r="141" ht="10" customHeight="1" x14ac:dyDescent="0.65"/>
    <row r="142" ht="10" customHeight="1" x14ac:dyDescent="0.65"/>
    <row r="143" ht="10" customHeight="1" x14ac:dyDescent="0.65"/>
    <row r="144" ht="10" customHeight="1" x14ac:dyDescent="0.65"/>
    <row r="145" ht="10" customHeight="1" x14ac:dyDescent="0.65"/>
    <row r="146" ht="10" customHeight="1" x14ac:dyDescent="0.65"/>
    <row r="147" ht="10" customHeight="1" x14ac:dyDescent="0.65"/>
    <row r="148" ht="10" customHeight="1" x14ac:dyDescent="0.65"/>
    <row r="149" ht="10" customHeight="1" x14ac:dyDescent="0.65"/>
    <row r="150" ht="10" customHeight="1" x14ac:dyDescent="0.65"/>
    <row r="151" ht="10" customHeight="1" x14ac:dyDescent="0.65"/>
    <row r="152" ht="10" customHeight="1" x14ac:dyDescent="0.65"/>
    <row r="153" ht="10" customHeight="1" x14ac:dyDescent="0.65"/>
    <row r="154" ht="10" customHeight="1" x14ac:dyDescent="0.65"/>
    <row r="155" ht="10" customHeight="1" x14ac:dyDescent="0.65"/>
    <row r="156" ht="10" customHeight="1" x14ac:dyDescent="0.65"/>
    <row r="157" ht="10" customHeight="1" x14ac:dyDescent="0.65"/>
    <row r="158" ht="10" customHeight="1" x14ac:dyDescent="0.65"/>
    <row r="159" ht="10" customHeight="1" x14ac:dyDescent="0.65"/>
    <row r="160" ht="10" customHeight="1" x14ac:dyDescent="0.65"/>
    <row r="161" ht="10" customHeight="1" x14ac:dyDescent="0.65"/>
    <row r="162" ht="10" customHeight="1" x14ac:dyDescent="0.65"/>
    <row r="163" ht="10" customHeight="1" x14ac:dyDescent="0.65"/>
    <row r="164" ht="10" customHeight="1" x14ac:dyDescent="0.65"/>
    <row r="165" ht="10" customHeight="1" x14ac:dyDescent="0.65"/>
    <row r="166" ht="10" customHeight="1" x14ac:dyDescent="0.65"/>
    <row r="167" ht="10" customHeight="1" x14ac:dyDescent="0.65"/>
    <row r="168" ht="10" customHeight="1" x14ac:dyDescent="0.65"/>
    <row r="169" ht="10" customHeight="1" x14ac:dyDescent="0.65"/>
    <row r="170" ht="10" customHeight="1" x14ac:dyDescent="0.65"/>
    <row r="171" ht="10" customHeight="1" x14ac:dyDescent="0.65"/>
    <row r="172" ht="10" customHeight="1" x14ac:dyDescent="0.65"/>
    <row r="173" ht="10" customHeight="1" x14ac:dyDescent="0.65"/>
    <row r="174" ht="10" customHeight="1" x14ac:dyDescent="0.65"/>
    <row r="175" ht="10" customHeight="1" x14ac:dyDescent="0.65"/>
    <row r="176" ht="10" customHeight="1" x14ac:dyDescent="0.65"/>
    <row r="177" ht="10" customHeight="1" x14ac:dyDescent="0.65"/>
    <row r="178" ht="10" customHeight="1" x14ac:dyDescent="0.65"/>
    <row r="179" ht="10" customHeight="1" x14ac:dyDescent="0.65"/>
    <row r="180" ht="10" customHeight="1" x14ac:dyDescent="0.65"/>
    <row r="181" ht="10" customHeight="1" x14ac:dyDescent="0.65"/>
    <row r="182" ht="10" customHeight="1" x14ac:dyDescent="0.65"/>
    <row r="183" ht="10" customHeight="1" x14ac:dyDescent="0.65"/>
    <row r="184" ht="10" customHeight="1" x14ac:dyDescent="0.65"/>
    <row r="185" ht="10" customHeight="1" x14ac:dyDescent="0.65"/>
    <row r="186" ht="10" customHeight="1" x14ac:dyDescent="0.65"/>
    <row r="187" ht="10" customHeight="1" x14ac:dyDescent="0.65"/>
    <row r="188" ht="10" customHeight="1" x14ac:dyDescent="0.65"/>
    <row r="189" ht="10" customHeight="1" x14ac:dyDescent="0.65"/>
    <row r="190" ht="10" customHeight="1" x14ac:dyDescent="0.65"/>
    <row r="191" ht="10" customHeight="1" x14ac:dyDescent="0.65"/>
    <row r="192" ht="10" customHeight="1" x14ac:dyDescent="0.65"/>
    <row r="193" ht="10" customHeight="1" x14ac:dyDescent="0.65"/>
    <row r="194" ht="10" customHeight="1" x14ac:dyDescent="0.65"/>
    <row r="195" ht="10" customHeight="1" x14ac:dyDescent="0.65"/>
    <row r="196" ht="10" customHeight="1" x14ac:dyDescent="0.65"/>
    <row r="197" ht="10" customHeight="1" x14ac:dyDescent="0.65"/>
    <row r="198" ht="10" customHeight="1" x14ac:dyDescent="0.65"/>
    <row r="199" ht="10" customHeight="1" x14ac:dyDescent="0.65"/>
    <row r="200" ht="10" customHeight="1" x14ac:dyDescent="0.65"/>
    <row r="201" ht="10" customHeight="1" x14ac:dyDescent="0.65"/>
    <row r="202" ht="10" customHeight="1" x14ac:dyDescent="0.65"/>
    <row r="203" ht="10" customHeight="1" x14ac:dyDescent="0.65"/>
    <row r="204" ht="10" customHeight="1" x14ac:dyDescent="0.65"/>
    <row r="205" ht="10" customHeight="1" x14ac:dyDescent="0.65"/>
    <row r="206" ht="10" customHeight="1" x14ac:dyDescent="0.65"/>
    <row r="207" ht="10" customHeight="1" x14ac:dyDescent="0.65"/>
    <row r="208" ht="10" customHeight="1" x14ac:dyDescent="0.65"/>
    <row r="209" ht="10" customHeight="1" x14ac:dyDescent="0.65"/>
    <row r="210" ht="10" customHeight="1" x14ac:dyDescent="0.65"/>
    <row r="211" ht="10" customHeight="1" x14ac:dyDescent="0.65"/>
    <row r="212" ht="10" customHeight="1" x14ac:dyDescent="0.65"/>
    <row r="213" ht="10" customHeight="1" x14ac:dyDescent="0.65"/>
    <row r="214" ht="10" customHeight="1" x14ac:dyDescent="0.65"/>
    <row r="215" ht="10" customHeight="1" x14ac:dyDescent="0.65"/>
    <row r="216" ht="10" customHeight="1" x14ac:dyDescent="0.65"/>
    <row r="217" ht="10" customHeight="1" x14ac:dyDescent="0.65"/>
    <row r="218" ht="10" customHeight="1" x14ac:dyDescent="0.65"/>
    <row r="219" ht="10" customHeight="1" x14ac:dyDescent="0.65"/>
    <row r="220" ht="10" customHeight="1" x14ac:dyDescent="0.65"/>
    <row r="221" ht="10" customHeight="1" x14ac:dyDescent="0.65"/>
    <row r="222" ht="10" customHeight="1" x14ac:dyDescent="0.65"/>
    <row r="223" ht="10" customHeight="1" x14ac:dyDescent="0.65"/>
    <row r="224" ht="10" customHeight="1" x14ac:dyDescent="0.65"/>
    <row r="225" ht="10" customHeight="1" x14ac:dyDescent="0.65"/>
    <row r="226" ht="10" customHeight="1" x14ac:dyDescent="0.65"/>
    <row r="227" ht="10" customHeight="1" x14ac:dyDescent="0.65"/>
    <row r="228" ht="10" customHeight="1" x14ac:dyDescent="0.65"/>
    <row r="229" ht="10" customHeight="1" x14ac:dyDescent="0.65"/>
    <row r="230" ht="10" customHeight="1" x14ac:dyDescent="0.65"/>
    <row r="231" ht="10" customHeight="1" x14ac:dyDescent="0.65"/>
    <row r="232" ht="10" customHeight="1" x14ac:dyDescent="0.65"/>
    <row r="233" ht="10" customHeight="1" x14ac:dyDescent="0.65"/>
    <row r="234" ht="10" customHeight="1" x14ac:dyDescent="0.65"/>
    <row r="235" ht="10" customHeight="1" x14ac:dyDescent="0.65"/>
    <row r="236" ht="10" customHeight="1" x14ac:dyDescent="0.65"/>
    <row r="237" ht="10" customHeight="1" x14ac:dyDescent="0.65"/>
    <row r="238" ht="10" customHeight="1" x14ac:dyDescent="0.65"/>
    <row r="239" ht="10" customHeight="1" x14ac:dyDescent="0.65"/>
    <row r="240" ht="10" customHeight="1" x14ac:dyDescent="0.65"/>
    <row r="241" ht="10" customHeight="1" x14ac:dyDescent="0.65"/>
    <row r="242" ht="10" customHeight="1" x14ac:dyDescent="0.65"/>
    <row r="243" ht="10" customHeight="1" x14ac:dyDescent="0.65"/>
    <row r="244" ht="10" customHeight="1" x14ac:dyDescent="0.65"/>
    <row r="245" ht="10" customHeight="1" x14ac:dyDescent="0.65"/>
    <row r="246" ht="10" customHeight="1" x14ac:dyDescent="0.65"/>
    <row r="247" ht="10" customHeight="1" x14ac:dyDescent="0.65"/>
    <row r="248" ht="10" customHeight="1" x14ac:dyDescent="0.65"/>
    <row r="249" ht="10" customHeight="1" x14ac:dyDescent="0.65"/>
    <row r="250" ht="10" customHeight="1" x14ac:dyDescent="0.65"/>
    <row r="251" ht="10" customHeight="1" x14ac:dyDescent="0.65"/>
    <row r="252" ht="10" customHeight="1" x14ac:dyDescent="0.65"/>
    <row r="253" ht="10" customHeight="1" x14ac:dyDescent="0.65"/>
    <row r="254" ht="10" customHeight="1" x14ac:dyDescent="0.65"/>
    <row r="255" ht="10" customHeight="1" x14ac:dyDescent="0.65"/>
    <row r="256" ht="10" customHeight="1" x14ac:dyDescent="0.65"/>
    <row r="257" ht="10" customHeight="1" x14ac:dyDescent="0.65"/>
    <row r="258" ht="10" customHeight="1" x14ac:dyDescent="0.65"/>
    <row r="259" ht="10" customHeight="1" x14ac:dyDescent="0.65"/>
    <row r="260" ht="10" customHeight="1" x14ac:dyDescent="0.65"/>
    <row r="261" ht="10" customHeight="1" x14ac:dyDescent="0.65"/>
    <row r="262" ht="10" customHeight="1" x14ac:dyDescent="0.65"/>
    <row r="263" ht="10" customHeight="1" x14ac:dyDescent="0.65"/>
    <row r="264" ht="10" customHeight="1" x14ac:dyDescent="0.65"/>
    <row r="265" ht="10" customHeight="1" x14ac:dyDescent="0.65"/>
    <row r="266" ht="10" customHeight="1" x14ac:dyDescent="0.65"/>
    <row r="267" ht="10" customHeight="1" x14ac:dyDescent="0.65"/>
    <row r="268" ht="10" customHeight="1" x14ac:dyDescent="0.65"/>
    <row r="269" ht="10" customHeight="1" x14ac:dyDescent="0.65"/>
    <row r="270" ht="10" customHeight="1" x14ac:dyDescent="0.65"/>
    <row r="271" ht="10" customHeight="1" x14ac:dyDescent="0.65"/>
    <row r="272" ht="10" customHeight="1" x14ac:dyDescent="0.65"/>
    <row r="273" ht="10" customHeight="1" x14ac:dyDescent="0.65"/>
    <row r="274" ht="10" customHeight="1" x14ac:dyDescent="0.65"/>
    <row r="275" ht="10" customHeight="1" x14ac:dyDescent="0.65"/>
    <row r="276" ht="10" customHeight="1" x14ac:dyDescent="0.65"/>
    <row r="277" ht="10" customHeight="1" x14ac:dyDescent="0.65"/>
    <row r="278" ht="10" customHeight="1" x14ac:dyDescent="0.65"/>
    <row r="279" ht="10" customHeight="1" x14ac:dyDescent="0.65"/>
    <row r="280" ht="10" customHeight="1" x14ac:dyDescent="0.65"/>
    <row r="281" ht="10" customHeight="1" x14ac:dyDescent="0.65"/>
    <row r="282" ht="10" customHeight="1" x14ac:dyDescent="0.65"/>
    <row r="283" ht="10" customHeight="1" x14ac:dyDescent="0.65"/>
    <row r="284" ht="10" customHeight="1" x14ac:dyDescent="0.65"/>
    <row r="285" ht="10" customHeight="1" x14ac:dyDescent="0.65"/>
    <row r="286" ht="10" customHeight="1" x14ac:dyDescent="0.65"/>
    <row r="287" ht="10" customHeight="1" x14ac:dyDescent="0.65"/>
    <row r="288" ht="10" customHeight="1" x14ac:dyDescent="0.65"/>
    <row r="289" ht="10" customHeight="1" x14ac:dyDescent="0.65"/>
    <row r="290" ht="10" customHeight="1" x14ac:dyDescent="0.65"/>
    <row r="291" ht="10" customHeight="1" x14ac:dyDescent="0.65"/>
    <row r="292" ht="10" customHeight="1" x14ac:dyDescent="0.65"/>
    <row r="293" ht="10" customHeight="1" x14ac:dyDescent="0.65"/>
    <row r="294" ht="10" customHeight="1" x14ac:dyDescent="0.65"/>
    <row r="295" ht="10" customHeight="1" x14ac:dyDescent="0.65"/>
    <row r="296" ht="10" customHeight="1" x14ac:dyDescent="0.65"/>
    <row r="297" ht="10" customHeight="1" x14ac:dyDescent="0.65"/>
    <row r="298" ht="10" customHeight="1" x14ac:dyDescent="0.65"/>
    <row r="299" ht="10" customHeight="1" x14ac:dyDescent="0.65"/>
    <row r="300" ht="10" customHeight="1" x14ac:dyDescent="0.65"/>
    <row r="301" ht="10" customHeight="1" x14ac:dyDescent="0.65"/>
    <row r="302" ht="10" customHeight="1" x14ac:dyDescent="0.65"/>
    <row r="303" ht="10" customHeight="1" x14ac:dyDescent="0.65"/>
    <row r="304" ht="10" customHeight="1" x14ac:dyDescent="0.65"/>
    <row r="305" ht="10" customHeight="1" x14ac:dyDescent="0.65"/>
    <row r="306" ht="10" customHeight="1" x14ac:dyDescent="0.65"/>
    <row r="307" ht="10" customHeight="1" x14ac:dyDescent="0.65"/>
    <row r="308" ht="10" customHeight="1" x14ac:dyDescent="0.65"/>
    <row r="309" ht="10" customHeight="1" x14ac:dyDescent="0.65"/>
    <row r="310" ht="10" customHeight="1" x14ac:dyDescent="0.65"/>
    <row r="311" ht="10" customHeight="1" x14ac:dyDescent="0.65"/>
    <row r="312" ht="10" customHeight="1" x14ac:dyDescent="0.65"/>
    <row r="313" ht="10" customHeight="1" x14ac:dyDescent="0.65"/>
    <row r="314" ht="10" customHeight="1" x14ac:dyDescent="0.65"/>
    <row r="315" ht="10" customHeight="1" x14ac:dyDescent="0.65"/>
    <row r="316" ht="10" customHeight="1" x14ac:dyDescent="0.65"/>
    <row r="317" ht="10" customHeight="1" x14ac:dyDescent="0.65"/>
    <row r="318" ht="10" customHeight="1" x14ac:dyDescent="0.65"/>
    <row r="319" ht="10" customHeight="1" x14ac:dyDescent="0.65"/>
    <row r="320" ht="10" customHeight="1" x14ac:dyDescent="0.65"/>
    <row r="321" ht="10" customHeight="1" x14ac:dyDescent="0.65"/>
    <row r="322" ht="10" customHeight="1" x14ac:dyDescent="0.65"/>
    <row r="323" ht="10" customHeight="1" x14ac:dyDescent="0.65"/>
    <row r="324" ht="10" customHeight="1" x14ac:dyDescent="0.65"/>
    <row r="325" ht="10" customHeight="1" x14ac:dyDescent="0.65"/>
    <row r="326" ht="10" customHeight="1" x14ac:dyDescent="0.65"/>
    <row r="327" ht="10" customHeight="1" x14ac:dyDescent="0.65"/>
    <row r="328" ht="10" customHeight="1" x14ac:dyDescent="0.65"/>
    <row r="329" ht="10" customHeight="1" x14ac:dyDescent="0.65"/>
    <row r="330" ht="10" customHeight="1" x14ac:dyDescent="0.65"/>
    <row r="331" ht="10" customHeight="1" x14ac:dyDescent="0.65"/>
    <row r="332" ht="10" customHeight="1" x14ac:dyDescent="0.65"/>
    <row r="333" ht="10" customHeight="1" x14ac:dyDescent="0.65"/>
    <row r="334" ht="10" customHeight="1" x14ac:dyDescent="0.65"/>
    <row r="335" ht="10" customHeight="1" x14ac:dyDescent="0.65"/>
    <row r="336" ht="10" customHeight="1" x14ac:dyDescent="0.65"/>
    <row r="337" ht="10" customHeight="1" x14ac:dyDescent="0.65"/>
    <row r="338" ht="10" customHeight="1" x14ac:dyDescent="0.65"/>
    <row r="339" ht="10" customHeight="1" x14ac:dyDescent="0.65"/>
    <row r="340" ht="10" customHeight="1" x14ac:dyDescent="0.65"/>
    <row r="341" ht="10" customHeight="1" x14ac:dyDescent="0.65"/>
    <row r="342" ht="10" customHeight="1" x14ac:dyDescent="0.65"/>
    <row r="343" ht="10" customHeight="1" x14ac:dyDescent="0.65"/>
    <row r="344" ht="10" customHeight="1" x14ac:dyDescent="0.65"/>
    <row r="345" ht="10" customHeight="1" x14ac:dyDescent="0.65"/>
    <row r="346" ht="10" customHeight="1" x14ac:dyDescent="0.65"/>
    <row r="347" ht="10" customHeight="1" x14ac:dyDescent="0.65"/>
    <row r="348" ht="10" customHeight="1" x14ac:dyDescent="0.65"/>
    <row r="349" ht="10" customHeight="1" x14ac:dyDescent="0.65"/>
    <row r="350" ht="10" customHeight="1" x14ac:dyDescent="0.65"/>
    <row r="351" ht="10" customHeight="1" x14ac:dyDescent="0.65"/>
    <row r="352" ht="10" customHeight="1" x14ac:dyDescent="0.65"/>
    <row r="353" ht="10" customHeight="1" x14ac:dyDescent="0.65"/>
    <row r="354" ht="10" customHeight="1" x14ac:dyDescent="0.65"/>
    <row r="355" ht="10" customHeight="1" x14ac:dyDescent="0.65"/>
    <row r="356" ht="10" customHeight="1" x14ac:dyDescent="0.65"/>
    <row r="357" ht="10" customHeight="1" x14ac:dyDescent="0.65"/>
    <row r="358" ht="10" customHeight="1" x14ac:dyDescent="0.65"/>
    <row r="359" ht="10" customHeight="1" x14ac:dyDescent="0.65"/>
    <row r="360" ht="10" customHeight="1" x14ac:dyDescent="0.65"/>
    <row r="361" ht="10" customHeight="1" x14ac:dyDescent="0.65"/>
    <row r="362" ht="10" customHeight="1" x14ac:dyDescent="0.65"/>
    <row r="363" ht="10" customHeight="1" x14ac:dyDescent="0.65"/>
    <row r="364" ht="10" customHeight="1" x14ac:dyDescent="0.65"/>
    <row r="365" ht="10" customHeight="1" x14ac:dyDescent="0.65"/>
    <row r="366" ht="10" customHeight="1" x14ac:dyDescent="0.65"/>
    <row r="367" ht="10" customHeight="1" x14ac:dyDescent="0.65"/>
    <row r="368" ht="10" customHeight="1" x14ac:dyDescent="0.65"/>
    <row r="369" ht="10" customHeight="1" x14ac:dyDescent="0.65"/>
    <row r="370" ht="10" customHeight="1" x14ac:dyDescent="0.65"/>
    <row r="371" ht="10" customHeight="1" x14ac:dyDescent="0.65"/>
    <row r="372" ht="10" customHeight="1" x14ac:dyDescent="0.65"/>
    <row r="373" ht="10" customHeight="1" x14ac:dyDescent="0.65"/>
    <row r="374" ht="10" customHeight="1" x14ac:dyDescent="0.65"/>
    <row r="375" ht="10" customHeight="1" x14ac:dyDescent="0.65"/>
    <row r="376" ht="10" customHeight="1" x14ac:dyDescent="0.65"/>
    <row r="377" ht="10" customHeight="1" x14ac:dyDescent="0.65"/>
    <row r="378" ht="10" customHeight="1" x14ac:dyDescent="0.65"/>
    <row r="379" ht="10" customHeight="1" x14ac:dyDescent="0.65"/>
    <row r="380" ht="10" customHeight="1" x14ac:dyDescent="0.65"/>
    <row r="381" ht="10" customHeight="1" x14ac:dyDescent="0.65"/>
    <row r="382" ht="10" customHeight="1" x14ac:dyDescent="0.65"/>
    <row r="383" ht="10" customHeight="1" x14ac:dyDescent="0.65"/>
    <row r="384" ht="10" customHeight="1" x14ac:dyDescent="0.65"/>
    <row r="385" ht="10" customHeight="1" x14ac:dyDescent="0.65"/>
    <row r="386" ht="10" customHeight="1" x14ac:dyDescent="0.65"/>
    <row r="387" ht="10" customHeight="1" x14ac:dyDescent="0.65"/>
    <row r="388" ht="10" customHeight="1" x14ac:dyDescent="0.65"/>
    <row r="389" ht="10" customHeight="1" x14ac:dyDescent="0.65"/>
    <row r="390" ht="10" customHeight="1" x14ac:dyDescent="0.65"/>
    <row r="391" ht="10" customHeight="1" x14ac:dyDescent="0.65"/>
    <row r="392" ht="10" customHeight="1" x14ac:dyDescent="0.65"/>
    <row r="393" ht="10" customHeight="1" x14ac:dyDescent="0.65"/>
    <row r="394" ht="10" customHeight="1" x14ac:dyDescent="0.65"/>
    <row r="395" ht="10" customHeight="1" x14ac:dyDescent="0.65"/>
    <row r="396" ht="10" customHeight="1" x14ac:dyDescent="0.65"/>
    <row r="397" ht="10" customHeight="1" x14ac:dyDescent="0.65"/>
    <row r="398" ht="10" customHeight="1" x14ac:dyDescent="0.65"/>
    <row r="399" ht="10" customHeight="1" x14ac:dyDescent="0.65"/>
    <row r="400" ht="10" customHeight="1" x14ac:dyDescent="0.65"/>
    <row r="401" ht="10" customHeight="1" x14ac:dyDescent="0.65"/>
    <row r="402" ht="10" customHeight="1" x14ac:dyDescent="0.65"/>
    <row r="403" ht="10" customHeight="1" x14ac:dyDescent="0.65"/>
    <row r="404" ht="10" customHeight="1" x14ac:dyDescent="0.65"/>
    <row r="405" ht="10" customHeight="1" x14ac:dyDescent="0.65"/>
    <row r="406" ht="10" customHeight="1" x14ac:dyDescent="0.65"/>
    <row r="407" ht="10" customHeight="1" x14ac:dyDescent="0.65"/>
    <row r="408" ht="10" customHeight="1" x14ac:dyDescent="0.65"/>
    <row r="409" ht="10" customHeight="1" x14ac:dyDescent="0.65"/>
    <row r="410" ht="10" customHeight="1" x14ac:dyDescent="0.65"/>
    <row r="411" ht="10" customHeight="1" x14ac:dyDescent="0.65"/>
    <row r="412" ht="10" customHeight="1" x14ac:dyDescent="0.65"/>
    <row r="413" ht="10" customHeight="1" x14ac:dyDescent="0.65"/>
    <row r="414" ht="10" customHeight="1" x14ac:dyDescent="0.65"/>
    <row r="415" ht="10" customHeight="1" x14ac:dyDescent="0.65"/>
    <row r="416" ht="10" customHeight="1" x14ac:dyDescent="0.65"/>
    <row r="417" ht="10" customHeight="1" x14ac:dyDescent="0.65"/>
    <row r="418" ht="10" customHeight="1" x14ac:dyDescent="0.65"/>
    <row r="419" ht="10" customHeight="1" x14ac:dyDescent="0.65"/>
    <row r="420" ht="10" customHeight="1" x14ac:dyDescent="0.65"/>
    <row r="421" ht="10" customHeight="1" x14ac:dyDescent="0.65"/>
    <row r="422" ht="10" customHeight="1" x14ac:dyDescent="0.65"/>
    <row r="423" ht="10" customHeight="1" x14ac:dyDescent="0.65"/>
    <row r="424" ht="10" customHeight="1" x14ac:dyDescent="0.65"/>
    <row r="425" ht="10" customHeight="1" x14ac:dyDescent="0.65"/>
    <row r="426" ht="10" customHeight="1" x14ac:dyDescent="0.65"/>
    <row r="427" ht="10" customHeight="1" x14ac:dyDescent="0.65"/>
    <row r="428" ht="10" customHeight="1" x14ac:dyDescent="0.65"/>
    <row r="429" ht="10" customHeight="1" x14ac:dyDescent="0.65"/>
    <row r="430" ht="10" customHeight="1" x14ac:dyDescent="0.65"/>
    <row r="431" ht="10" customHeight="1" x14ac:dyDescent="0.65"/>
    <row r="432" ht="10" customHeight="1" x14ac:dyDescent="0.65"/>
    <row r="433" ht="10" customHeight="1" x14ac:dyDescent="0.65"/>
    <row r="434" ht="10" customHeight="1" x14ac:dyDescent="0.65"/>
    <row r="435" ht="10" customHeight="1" x14ac:dyDescent="0.65"/>
    <row r="436" ht="10" customHeight="1" x14ac:dyDescent="0.65"/>
    <row r="437" ht="10" customHeight="1" x14ac:dyDescent="0.65"/>
    <row r="438" ht="10" customHeight="1" x14ac:dyDescent="0.65"/>
    <row r="439" ht="10" customHeight="1" x14ac:dyDescent="0.65"/>
    <row r="440" ht="10" customHeight="1" x14ac:dyDescent="0.65"/>
    <row r="441" ht="10" customHeight="1" x14ac:dyDescent="0.65"/>
    <row r="442" ht="10" customHeight="1" x14ac:dyDescent="0.65"/>
    <row r="443" ht="10" customHeight="1" x14ac:dyDescent="0.65"/>
    <row r="444" ht="10" customHeight="1" x14ac:dyDescent="0.65"/>
    <row r="445" ht="10" customHeight="1" x14ac:dyDescent="0.65"/>
    <row r="446" ht="10" customHeight="1" x14ac:dyDescent="0.65"/>
    <row r="447" ht="10" customHeight="1" x14ac:dyDescent="0.65"/>
    <row r="448" ht="10" customHeight="1" x14ac:dyDescent="0.65"/>
    <row r="449" ht="10" customHeight="1" x14ac:dyDescent="0.65"/>
    <row r="450" ht="10" customHeight="1" x14ac:dyDescent="0.65"/>
    <row r="451" ht="10" customHeight="1" x14ac:dyDescent="0.65"/>
    <row r="452" ht="10" customHeight="1" x14ac:dyDescent="0.65"/>
    <row r="453" ht="10" customHeight="1" x14ac:dyDescent="0.65"/>
    <row r="454" ht="10" customHeight="1" x14ac:dyDescent="0.65"/>
    <row r="455" ht="10" customHeight="1" x14ac:dyDescent="0.65"/>
    <row r="456" ht="10" customHeight="1" x14ac:dyDescent="0.65"/>
    <row r="457" ht="10" customHeight="1" x14ac:dyDescent="0.65"/>
    <row r="458" ht="10" customHeight="1" x14ac:dyDescent="0.65"/>
    <row r="459" ht="10" customHeight="1" x14ac:dyDescent="0.65"/>
    <row r="460" ht="10" customHeight="1" x14ac:dyDescent="0.65"/>
    <row r="461" ht="10" customHeight="1" x14ac:dyDescent="0.65"/>
    <row r="462" ht="10" customHeight="1" x14ac:dyDescent="0.65"/>
    <row r="463" ht="10" customHeight="1" x14ac:dyDescent="0.65"/>
    <row r="464" ht="10" customHeight="1" x14ac:dyDescent="0.65"/>
    <row r="465" ht="10" customHeight="1" x14ac:dyDescent="0.65"/>
    <row r="466" ht="10" customHeight="1" x14ac:dyDescent="0.65"/>
    <row r="467" ht="10" customHeight="1" x14ac:dyDescent="0.65"/>
    <row r="468" ht="10" customHeight="1" x14ac:dyDescent="0.65"/>
    <row r="469" ht="10" customHeight="1" x14ac:dyDescent="0.65"/>
    <row r="470" ht="10" customHeight="1" x14ac:dyDescent="0.65"/>
    <row r="471" ht="10" customHeight="1" x14ac:dyDescent="0.65"/>
    <row r="472" ht="10" customHeight="1" x14ac:dyDescent="0.65"/>
    <row r="473" ht="10" customHeight="1" x14ac:dyDescent="0.65"/>
    <row r="474" ht="10" customHeight="1" x14ac:dyDescent="0.65"/>
    <row r="475" ht="10" customHeight="1" x14ac:dyDescent="0.65"/>
    <row r="476" ht="10" customHeight="1" x14ac:dyDescent="0.65"/>
    <row r="477" ht="10" customHeight="1" x14ac:dyDescent="0.65"/>
    <row r="478" ht="10" customHeight="1" x14ac:dyDescent="0.65"/>
    <row r="479" ht="10" customHeight="1" x14ac:dyDescent="0.65"/>
    <row r="480" ht="10" customHeight="1" x14ac:dyDescent="0.65"/>
    <row r="481" ht="10" customHeight="1" x14ac:dyDescent="0.65"/>
    <row r="482" ht="10" customHeight="1" x14ac:dyDescent="0.65"/>
    <row r="483" ht="10" customHeight="1" x14ac:dyDescent="0.65"/>
    <row r="484" ht="10" customHeight="1" x14ac:dyDescent="0.65"/>
    <row r="485" ht="10" customHeight="1" x14ac:dyDescent="0.65"/>
    <row r="486" ht="10" customHeight="1" x14ac:dyDescent="0.65"/>
    <row r="487" ht="10" customHeight="1" x14ac:dyDescent="0.65"/>
    <row r="488" ht="10" customHeight="1" x14ac:dyDescent="0.65"/>
    <row r="489" ht="10" customHeight="1" x14ac:dyDescent="0.65"/>
    <row r="490" ht="10" customHeight="1" x14ac:dyDescent="0.65"/>
    <row r="491" ht="10" customHeight="1" x14ac:dyDescent="0.65"/>
    <row r="492" ht="10" customHeight="1" x14ac:dyDescent="0.65"/>
    <row r="493" ht="10" customHeight="1" x14ac:dyDescent="0.65"/>
    <row r="494" ht="10" customHeight="1" x14ac:dyDescent="0.65"/>
    <row r="495" ht="10" customHeight="1" x14ac:dyDescent="0.65"/>
    <row r="496" ht="10" customHeight="1" x14ac:dyDescent="0.65"/>
    <row r="497" ht="10" customHeight="1" x14ac:dyDescent="0.65"/>
    <row r="498" ht="10" customHeight="1" x14ac:dyDescent="0.65"/>
    <row r="499" ht="10" customHeight="1" x14ac:dyDescent="0.65"/>
    <row r="500" ht="10" customHeight="1" x14ac:dyDescent="0.65"/>
    <row r="501" ht="10" customHeight="1" x14ac:dyDescent="0.65"/>
    <row r="502" ht="10" customHeight="1" x14ac:dyDescent="0.65"/>
    <row r="503" ht="10" customHeight="1" x14ac:dyDescent="0.65"/>
    <row r="504" ht="10" customHeight="1" x14ac:dyDescent="0.65"/>
    <row r="505" ht="10" customHeight="1" x14ac:dyDescent="0.65"/>
    <row r="506" ht="10" customHeight="1" x14ac:dyDescent="0.65"/>
    <row r="507" ht="10" customHeight="1" x14ac:dyDescent="0.65"/>
    <row r="508" ht="10" customHeight="1" x14ac:dyDescent="0.65"/>
    <row r="509" ht="10" customHeight="1" x14ac:dyDescent="0.65"/>
    <row r="510" ht="10" customHeight="1" x14ac:dyDescent="0.65"/>
    <row r="511" ht="10" customHeight="1" x14ac:dyDescent="0.65"/>
    <row r="512" ht="10" customHeight="1" x14ac:dyDescent="0.65"/>
    <row r="513" ht="10" customHeight="1" x14ac:dyDescent="0.65"/>
    <row r="514" ht="10" customHeight="1" x14ac:dyDescent="0.65"/>
    <row r="515" ht="10" customHeight="1" x14ac:dyDescent="0.65"/>
    <row r="516" ht="10" customHeight="1" x14ac:dyDescent="0.65"/>
    <row r="517" ht="10" customHeight="1" x14ac:dyDescent="0.65"/>
    <row r="518" ht="10" customHeight="1" x14ac:dyDescent="0.65"/>
    <row r="519" ht="10" customHeight="1" x14ac:dyDescent="0.65"/>
    <row r="520" ht="10" customHeight="1" x14ac:dyDescent="0.65"/>
    <row r="521" ht="10" customHeight="1" x14ac:dyDescent="0.65"/>
    <row r="522" ht="10" customHeight="1" x14ac:dyDescent="0.65"/>
    <row r="523" ht="10" customHeight="1" x14ac:dyDescent="0.65"/>
    <row r="524" ht="10" customHeight="1" x14ac:dyDescent="0.65"/>
    <row r="525" ht="10" customHeight="1" x14ac:dyDescent="0.65"/>
    <row r="526" ht="10" customHeight="1" x14ac:dyDescent="0.65"/>
    <row r="527" ht="10" customHeight="1" x14ac:dyDescent="0.65"/>
    <row r="528" ht="10" customHeight="1" x14ac:dyDescent="0.65"/>
    <row r="529" ht="10" customHeight="1" x14ac:dyDescent="0.65"/>
    <row r="530" ht="10" customHeight="1" x14ac:dyDescent="0.65"/>
    <row r="531" ht="10" customHeight="1" x14ac:dyDescent="0.65"/>
    <row r="532" ht="10" customHeight="1" x14ac:dyDescent="0.65"/>
    <row r="533" ht="10" customHeight="1" x14ac:dyDescent="0.65"/>
    <row r="534" ht="10" customHeight="1" x14ac:dyDescent="0.65"/>
    <row r="535" ht="10" customHeight="1" x14ac:dyDescent="0.65"/>
    <row r="536" ht="10" customHeight="1" x14ac:dyDescent="0.65"/>
    <row r="537" ht="10" customHeight="1" x14ac:dyDescent="0.65"/>
    <row r="538" ht="10" customHeight="1" x14ac:dyDescent="0.65"/>
    <row r="539" ht="10" customHeight="1" x14ac:dyDescent="0.65"/>
    <row r="540" ht="10" customHeight="1" x14ac:dyDescent="0.65"/>
    <row r="541" ht="10" customHeight="1" x14ac:dyDescent="0.65"/>
    <row r="542" ht="10" customHeight="1" x14ac:dyDescent="0.65"/>
    <row r="543" ht="10" customHeight="1" x14ac:dyDescent="0.65"/>
    <row r="544" ht="10" customHeight="1" x14ac:dyDescent="0.65"/>
    <row r="545" ht="10" customHeight="1" x14ac:dyDescent="0.65"/>
    <row r="546" ht="10" customHeight="1" x14ac:dyDescent="0.65"/>
    <row r="547" ht="10" customHeight="1" x14ac:dyDescent="0.65"/>
    <row r="548" ht="10" customHeight="1" x14ac:dyDescent="0.65"/>
    <row r="549" ht="10" customHeight="1" x14ac:dyDescent="0.65"/>
    <row r="550" ht="10" customHeight="1" x14ac:dyDescent="0.65"/>
    <row r="551" ht="10" customHeight="1" x14ac:dyDescent="0.65"/>
    <row r="552" ht="10" customHeight="1" x14ac:dyDescent="0.65"/>
    <row r="553" ht="10" customHeight="1" x14ac:dyDescent="0.65"/>
    <row r="554" ht="10" customHeight="1" x14ac:dyDescent="0.65"/>
    <row r="555" ht="10" customHeight="1" x14ac:dyDescent="0.65"/>
    <row r="556" ht="10" customHeight="1" x14ac:dyDescent="0.65"/>
    <row r="557" ht="10" customHeight="1" x14ac:dyDescent="0.65"/>
    <row r="558" ht="10" customHeight="1" x14ac:dyDescent="0.65"/>
    <row r="559" ht="10" customHeight="1" x14ac:dyDescent="0.65"/>
    <row r="560" ht="10" customHeight="1" x14ac:dyDescent="0.65"/>
    <row r="561" ht="10" customHeight="1" x14ac:dyDescent="0.65"/>
    <row r="562" ht="10" customHeight="1" x14ac:dyDescent="0.65"/>
    <row r="563" ht="10" customHeight="1" x14ac:dyDescent="0.65"/>
    <row r="564" ht="10" customHeight="1" x14ac:dyDescent="0.65"/>
    <row r="565" ht="10" customHeight="1" x14ac:dyDescent="0.65"/>
    <row r="566" ht="10" customHeight="1" x14ac:dyDescent="0.65"/>
    <row r="567" ht="10" customHeight="1" x14ac:dyDescent="0.65"/>
    <row r="568" ht="10" customHeight="1" x14ac:dyDescent="0.65"/>
    <row r="569" ht="10" customHeight="1" x14ac:dyDescent="0.65"/>
    <row r="570" ht="10" customHeight="1" x14ac:dyDescent="0.65"/>
    <row r="571" ht="10" customHeight="1" x14ac:dyDescent="0.65"/>
    <row r="572" ht="10" customHeight="1" x14ac:dyDescent="0.65"/>
    <row r="573" ht="10" customHeight="1" x14ac:dyDescent="0.65"/>
    <row r="574" ht="10" customHeight="1" x14ac:dyDescent="0.65"/>
    <row r="575" ht="10" customHeight="1" x14ac:dyDescent="0.65"/>
    <row r="576" ht="10" customHeight="1" x14ac:dyDescent="0.65"/>
    <row r="577" ht="10" customHeight="1" x14ac:dyDescent="0.65"/>
    <row r="578" ht="10" customHeight="1" x14ac:dyDescent="0.65"/>
    <row r="579" ht="10" customHeight="1" x14ac:dyDescent="0.65"/>
    <row r="580" ht="10" customHeight="1" x14ac:dyDescent="0.65"/>
    <row r="581" ht="10" customHeight="1" x14ac:dyDescent="0.65"/>
    <row r="582" ht="10" customHeight="1" x14ac:dyDescent="0.65"/>
    <row r="583" ht="10" customHeight="1" x14ac:dyDescent="0.65"/>
    <row r="584" ht="10" customHeight="1" x14ac:dyDescent="0.65"/>
    <row r="585" ht="10" customHeight="1" x14ac:dyDescent="0.65"/>
    <row r="586" ht="10" customHeight="1" x14ac:dyDescent="0.65"/>
    <row r="587" ht="10" customHeight="1" x14ac:dyDescent="0.65"/>
    <row r="588" ht="10" customHeight="1" x14ac:dyDescent="0.65"/>
    <row r="589" ht="10" customHeight="1" x14ac:dyDescent="0.65"/>
    <row r="590" ht="10" customHeight="1" x14ac:dyDescent="0.65"/>
    <row r="591" ht="10" customHeight="1" x14ac:dyDescent="0.65"/>
    <row r="592" ht="10" customHeight="1" x14ac:dyDescent="0.65"/>
    <row r="593" ht="10" customHeight="1" x14ac:dyDescent="0.65"/>
    <row r="594" ht="10" customHeight="1" x14ac:dyDescent="0.65"/>
    <row r="595" ht="10" customHeight="1" x14ac:dyDescent="0.65"/>
    <row r="596" ht="10" customHeight="1" x14ac:dyDescent="0.65"/>
    <row r="597" ht="10" customHeight="1" x14ac:dyDescent="0.65"/>
    <row r="598" ht="10" customHeight="1" x14ac:dyDescent="0.65"/>
    <row r="599" ht="10" customHeight="1" x14ac:dyDescent="0.65"/>
    <row r="600" ht="10" customHeight="1" x14ac:dyDescent="0.65"/>
    <row r="601" ht="10" customHeight="1" x14ac:dyDescent="0.65"/>
    <row r="602" ht="10" customHeight="1" x14ac:dyDescent="0.65"/>
    <row r="603" ht="10" customHeight="1" x14ac:dyDescent="0.65"/>
    <row r="604" ht="10" customHeight="1" x14ac:dyDescent="0.65"/>
    <row r="605" ht="10" customHeight="1" x14ac:dyDescent="0.65"/>
    <row r="606" ht="10" customHeight="1" x14ac:dyDescent="0.65"/>
    <row r="607" ht="10" customHeight="1" x14ac:dyDescent="0.65"/>
    <row r="608" ht="10" customHeight="1" x14ac:dyDescent="0.65"/>
    <row r="609" ht="10" customHeight="1" x14ac:dyDescent="0.65"/>
    <row r="610" ht="10" customHeight="1" x14ac:dyDescent="0.65"/>
    <row r="611" ht="10" customHeight="1" x14ac:dyDescent="0.65"/>
    <row r="612" ht="10" customHeight="1" x14ac:dyDescent="0.65"/>
    <row r="613" ht="10" customHeight="1" x14ac:dyDescent="0.65"/>
    <row r="614" ht="10" customHeight="1" x14ac:dyDescent="0.65"/>
    <row r="615" ht="10" customHeight="1" x14ac:dyDescent="0.65"/>
    <row r="616" ht="10" customHeight="1" x14ac:dyDescent="0.65"/>
    <row r="617" ht="10" customHeight="1" x14ac:dyDescent="0.65"/>
    <row r="618" ht="10" customHeight="1" x14ac:dyDescent="0.65"/>
    <row r="619" ht="10" customHeight="1" x14ac:dyDescent="0.65"/>
    <row r="620" ht="10" customHeight="1" x14ac:dyDescent="0.65"/>
    <row r="621" ht="10" customHeight="1" x14ac:dyDescent="0.65"/>
    <row r="622" ht="10" customHeight="1" x14ac:dyDescent="0.65"/>
    <row r="623" ht="10" customHeight="1" x14ac:dyDescent="0.65"/>
    <row r="624" ht="10" customHeight="1" x14ac:dyDescent="0.65"/>
    <row r="625" ht="10" customHeight="1" x14ac:dyDescent="0.65"/>
    <row r="626" ht="10" customHeight="1" x14ac:dyDescent="0.65"/>
    <row r="627" ht="10" customHeight="1" x14ac:dyDescent="0.65"/>
    <row r="628" ht="10" customHeight="1" x14ac:dyDescent="0.65"/>
    <row r="629" ht="10" customHeight="1" x14ac:dyDescent="0.65"/>
    <row r="630" ht="10" customHeight="1" x14ac:dyDescent="0.65"/>
    <row r="631" ht="10" customHeight="1" x14ac:dyDescent="0.65"/>
    <row r="632" ht="10" customHeight="1" x14ac:dyDescent="0.65"/>
    <row r="633" ht="10" customHeight="1" x14ac:dyDescent="0.65"/>
    <row r="634" ht="10" customHeight="1" x14ac:dyDescent="0.65"/>
    <row r="635" ht="10" customHeight="1" x14ac:dyDescent="0.65"/>
    <row r="636" ht="10" customHeight="1" x14ac:dyDescent="0.65"/>
    <row r="637" ht="10" customHeight="1" x14ac:dyDescent="0.65"/>
    <row r="638" ht="10" customHeight="1" x14ac:dyDescent="0.65"/>
    <row r="639" ht="10" customHeight="1" x14ac:dyDescent="0.65"/>
    <row r="640" ht="10" customHeight="1" x14ac:dyDescent="0.65"/>
    <row r="641" ht="10" customHeight="1" x14ac:dyDescent="0.65"/>
    <row r="642" ht="10" customHeight="1" x14ac:dyDescent="0.65"/>
    <row r="643" ht="10" customHeight="1" x14ac:dyDescent="0.65"/>
    <row r="644" ht="10" customHeight="1" x14ac:dyDescent="0.65"/>
    <row r="645" ht="10" customHeight="1" x14ac:dyDescent="0.65"/>
    <row r="646" ht="10" customHeight="1" x14ac:dyDescent="0.65"/>
    <row r="647" ht="10" customHeight="1" x14ac:dyDescent="0.65"/>
    <row r="648" ht="10" customHeight="1" x14ac:dyDescent="0.65"/>
    <row r="649" ht="10" customHeight="1" x14ac:dyDescent="0.65"/>
    <row r="650" ht="10" customHeight="1" x14ac:dyDescent="0.65"/>
    <row r="651" ht="10" customHeight="1" x14ac:dyDescent="0.65"/>
    <row r="652" ht="10" customHeight="1" x14ac:dyDescent="0.65"/>
    <row r="653" ht="10" customHeight="1" x14ac:dyDescent="0.65"/>
    <row r="654" ht="10" customHeight="1" x14ac:dyDescent="0.65"/>
    <row r="655" ht="10" customHeight="1" x14ac:dyDescent="0.65"/>
    <row r="656" ht="10" customHeight="1" x14ac:dyDescent="0.65"/>
    <row r="657" ht="10" customHeight="1" x14ac:dyDescent="0.65"/>
    <row r="658" ht="10" customHeight="1" x14ac:dyDescent="0.65"/>
    <row r="659" ht="10" customHeight="1" x14ac:dyDescent="0.65"/>
    <row r="660" ht="10" customHeight="1" x14ac:dyDescent="0.65"/>
    <row r="661" ht="10" customHeight="1" x14ac:dyDescent="0.65"/>
    <row r="662" ht="10" customHeight="1" x14ac:dyDescent="0.65"/>
    <row r="663" ht="10" customHeight="1" x14ac:dyDescent="0.65"/>
    <row r="664" ht="10" customHeight="1" x14ac:dyDescent="0.65"/>
    <row r="665" ht="10" customHeight="1" x14ac:dyDescent="0.65"/>
    <row r="666" ht="10" customHeight="1" x14ac:dyDescent="0.65"/>
    <row r="667" ht="10" customHeight="1" x14ac:dyDescent="0.65"/>
    <row r="668" ht="10" customHeight="1" x14ac:dyDescent="0.65"/>
    <row r="669" ht="10" customHeight="1" x14ac:dyDescent="0.65"/>
    <row r="670" ht="10" customHeight="1" x14ac:dyDescent="0.65"/>
    <row r="671" ht="10" customHeight="1" x14ac:dyDescent="0.65"/>
    <row r="672" ht="10" customHeight="1" x14ac:dyDescent="0.65"/>
    <row r="673" ht="10" customHeight="1" x14ac:dyDescent="0.65"/>
    <row r="674" ht="10" customHeight="1" x14ac:dyDescent="0.65"/>
    <row r="675" ht="10" customHeight="1" x14ac:dyDescent="0.65"/>
    <row r="676" ht="10" customHeight="1" x14ac:dyDescent="0.65"/>
    <row r="677" ht="10" customHeight="1" x14ac:dyDescent="0.65"/>
    <row r="678" ht="10" customHeight="1" x14ac:dyDescent="0.65"/>
    <row r="679" ht="10" customHeight="1" x14ac:dyDescent="0.65"/>
    <row r="680" ht="10" customHeight="1" x14ac:dyDescent="0.65"/>
    <row r="681" ht="10" customHeight="1" x14ac:dyDescent="0.65"/>
    <row r="682" ht="10" customHeight="1" x14ac:dyDescent="0.65"/>
    <row r="683" ht="10" customHeight="1" x14ac:dyDescent="0.65"/>
    <row r="684" ht="10" customHeight="1" x14ac:dyDescent="0.65"/>
    <row r="685" ht="10" customHeight="1" x14ac:dyDescent="0.65"/>
    <row r="686" ht="10" customHeight="1" x14ac:dyDescent="0.65"/>
    <row r="687" ht="10" customHeight="1" x14ac:dyDescent="0.65"/>
    <row r="688" ht="10" customHeight="1" x14ac:dyDescent="0.65"/>
    <row r="689" ht="10" customHeight="1" x14ac:dyDescent="0.65"/>
    <row r="690" ht="10" customHeight="1" x14ac:dyDescent="0.65"/>
    <row r="691" ht="10" customHeight="1" x14ac:dyDescent="0.65"/>
    <row r="692" ht="10" customHeight="1" x14ac:dyDescent="0.65"/>
    <row r="693" ht="10" customHeight="1" x14ac:dyDescent="0.65"/>
    <row r="694" ht="10" customHeight="1" x14ac:dyDescent="0.65"/>
    <row r="695" ht="10" customHeight="1" x14ac:dyDescent="0.65"/>
    <row r="696" ht="10" customHeight="1" x14ac:dyDescent="0.65"/>
    <row r="697" ht="10" customHeight="1" x14ac:dyDescent="0.65"/>
    <row r="698" ht="10" customHeight="1" x14ac:dyDescent="0.65"/>
    <row r="699" ht="10" customHeight="1" x14ac:dyDescent="0.65"/>
    <row r="700" ht="10" customHeight="1" x14ac:dyDescent="0.65"/>
    <row r="701" ht="10" customHeight="1" x14ac:dyDescent="0.65"/>
    <row r="702" ht="10" customHeight="1" x14ac:dyDescent="0.65"/>
    <row r="703" ht="10" customHeight="1" x14ac:dyDescent="0.65"/>
    <row r="704" ht="10" customHeight="1" x14ac:dyDescent="0.65"/>
    <row r="705" ht="10" customHeight="1" x14ac:dyDescent="0.65"/>
    <row r="706" ht="10" customHeight="1" x14ac:dyDescent="0.65"/>
    <row r="707" ht="10" customHeight="1" x14ac:dyDescent="0.65"/>
    <row r="708" ht="10" customHeight="1" x14ac:dyDescent="0.65"/>
    <row r="709" ht="10" customHeight="1" x14ac:dyDescent="0.65"/>
    <row r="710" ht="10" customHeight="1" x14ac:dyDescent="0.65"/>
    <row r="711" ht="10" customHeight="1" x14ac:dyDescent="0.65"/>
    <row r="712" ht="10" customHeight="1" x14ac:dyDescent="0.65"/>
    <row r="713" ht="10" customHeight="1" x14ac:dyDescent="0.65"/>
    <row r="714" ht="10" customHeight="1" x14ac:dyDescent="0.65"/>
    <row r="715" ht="10" customHeight="1" x14ac:dyDescent="0.65"/>
    <row r="716" ht="10" customHeight="1" x14ac:dyDescent="0.65"/>
    <row r="717" ht="10" customHeight="1" x14ac:dyDescent="0.65"/>
    <row r="718" ht="10" customHeight="1" x14ac:dyDescent="0.65"/>
    <row r="719" ht="10" customHeight="1" x14ac:dyDescent="0.65"/>
    <row r="720" ht="10" customHeight="1" x14ac:dyDescent="0.65"/>
    <row r="721" ht="10" customHeight="1" x14ac:dyDescent="0.65"/>
    <row r="722" ht="10" customHeight="1" x14ac:dyDescent="0.65"/>
    <row r="723" ht="10" customHeight="1" x14ac:dyDescent="0.65"/>
    <row r="724" ht="10" customHeight="1" x14ac:dyDescent="0.65"/>
    <row r="725" ht="10" customHeight="1" x14ac:dyDescent="0.65"/>
    <row r="726" ht="10" customHeight="1" x14ac:dyDescent="0.65"/>
    <row r="727" ht="10" customHeight="1" x14ac:dyDescent="0.65"/>
    <row r="728" ht="10" customHeight="1" x14ac:dyDescent="0.65"/>
    <row r="729" ht="10" customHeight="1" x14ac:dyDescent="0.65"/>
    <row r="730" ht="10" customHeight="1" x14ac:dyDescent="0.65"/>
    <row r="731" ht="10" customHeight="1" x14ac:dyDescent="0.65"/>
    <row r="732" ht="10" customHeight="1" x14ac:dyDescent="0.65"/>
    <row r="733" ht="10" customHeight="1" x14ac:dyDescent="0.65"/>
    <row r="734" ht="10" customHeight="1" x14ac:dyDescent="0.65"/>
    <row r="735" ht="10" customHeight="1" x14ac:dyDescent="0.65"/>
    <row r="736" ht="10" customHeight="1" x14ac:dyDescent="0.65"/>
    <row r="737" ht="10" customHeight="1" x14ac:dyDescent="0.65"/>
    <row r="738" ht="10" customHeight="1" x14ac:dyDescent="0.65"/>
    <row r="739" ht="10" customHeight="1" x14ac:dyDescent="0.65"/>
    <row r="740" ht="10" customHeight="1" x14ac:dyDescent="0.65"/>
    <row r="741" ht="10" customHeight="1" x14ac:dyDescent="0.65"/>
    <row r="742" ht="10" customHeight="1" x14ac:dyDescent="0.65"/>
    <row r="743" ht="10" customHeight="1" x14ac:dyDescent="0.65"/>
    <row r="744" ht="10" customHeight="1" x14ac:dyDescent="0.65"/>
    <row r="745" ht="10" customHeight="1" x14ac:dyDescent="0.65"/>
    <row r="746" ht="10" customHeight="1" x14ac:dyDescent="0.65"/>
    <row r="747" ht="10" customHeight="1" x14ac:dyDescent="0.65"/>
    <row r="748" ht="10" customHeight="1" x14ac:dyDescent="0.65"/>
    <row r="749" ht="10" customHeight="1" x14ac:dyDescent="0.65"/>
    <row r="750" ht="10" customHeight="1" x14ac:dyDescent="0.65"/>
    <row r="751" ht="10" customHeight="1" x14ac:dyDescent="0.65"/>
    <row r="752" ht="10" customHeight="1" x14ac:dyDescent="0.65"/>
    <row r="753" ht="10" customHeight="1" x14ac:dyDescent="0.65"/>
  </sheetData>
  <dataConsolidate/>
  <mergeCells count="419">
    <mergeCell ref="DQ53:DQ54"/>
    <mergeCell ref="DR53:DV54"/>
    <mergeCell ref="DQ55:DQ56"/>
    <mergeCell ref="DR55:DV56"/>
    <mergeCell ref="DQ45:DQ46"/>
    <mergeCell ref="DR45:DV46"/>
    <mergeCell ref="DQ47:DQ48"/>
    <mergeCell ref="DR47:DV48"/>
    <mergeCell ref="DQ49:DQ50"/>
    <mergeCell ref="DR49:DV50"/>
    <mergeCell ref="DQ37:DQ38"/>
    <mergeCell ref="DR37:DV38"/>
    <mergeCell ref="DQ39:DQ40"/>
    <mergeCell ref="DR39:DV40"/>
    <mergeCell ref="DQ41:DQ42"/>
    <mergeCell ref="DR41:DV42"/>
    <mergeCell ref="DR27:DV28"/>
    <mergeCell ref="DQ29:DQ30"/>
    <mergeCell ref="DR29:DV30"/>
    <mergeCell ref="DQ31:DQ32"/>
    <mergeCell ref="DR31:DV32"/>
    <mergeCell ref="DQ33:DQ34"/>
    <mergeCell ref="DR33:DV34"/>
    <mergeCell ref="DQ21:DQ22"/>
    <mergeCell ref="DR21:DV22"/>
    <mergeCell ref="DQ23:DQ24"/>
    <mergeCell ref="DR23:DV24"/>
    <mergeCell ref="DQ25:DQ26"/>
    <mergeCell ref="DR25:DV26"/>
    <mergeCell ref="DQ27:DQ28"/>
    <mergeCell ref="DK16:DP19"/>
    <mergeCell ref="DQ16:DV19"/>
    <mergeCell ref="CA16:CF19"/>
    <mergeCell ref="CG16:CL19"/>
    <mergeCell ref="CM16:CR19"/>
    <mergeCell ref="CS16:CX19"/>
    <mergeCell ref="BJ16:BM19"/>
    <mergeCell ref="BV16:BY19"/>
    <mergeCell ref="AL16:AO19"/>
    <mergeCell ref="BP16:BS19"/>
    <mergeCell ref="DE16:DJ19"/>
    <mergeCell ref="AE51:AG52"/>
    <mergeCell ref="AE53:AG54"/>
    <mergeCell ref="AE55:AG56"/>
    <mergeCell ref="AH55:AJ56"/>
    <mergeCell ref="AH47:AJ48"/>
    <mergeCell ref="AH49:AJ50"/>
    <mergeCell ref="AH51:AJ52"/>
    <mergeCell ref="AH53:AJ54"/>
    <mergeCell ref="AE37:AG38"/>
    <mergeCell ref="AE39:AG40"/>
    <mergeCell ref="AE41:AG42"/>
    <mergeCell ref="AE43:AG44"/>
    <mergeCell ref="AE45:AG46"/>
    <mergeCell ref="AE47:AG48"/>
    <mergeCell ref="AH37:AJ38"/>
    <mergeCell ref="AK37:AP38"/>
    <mergeCell ref="AQ37:AV38"/>
    <mergeCell ref="AH39:AJ40"/>
    <mergeCell ref="AH41:AJ42"/>
    <mergeCell ref="AH43:AJ44"/>
    <mergeCell ref="AE31:AG32"/>
    <mergeCell ref="AH31:AJ32"/>
    <mergeCell ref="AE33:AG34"/>
    <mergeCell ref="AH33:AJ34"/>
    <mergeCell ref="AE35:AG36"/>
    <mergeCell ref="AH35:AJ36"/>
    <mergeCell ref="AE25:AG26"/>
    <mergeCell ref="AH25:AJ26"/>
    <mergeCell ref="AE27:AG28"/>
    <mergeCell ref="AH27:AJ28"/>
    <mergeCell ref="AE29:AG30"/>
    <mergeCell ref="AH29:AJ30"/>
    <mergeCell ref="DE21:DJ22"/>
    <mergeCell ref="DK21:DP22"/>
    <mergeCell ref="AE23:AG24"/>
    <mergeCell ref="AH23:AJ24"/>
    <mergeCell ref="AK23:AP24"/>
    <mergeCell ref="AQ23:AV24"/>
    <mergeCell ref="AW23:BB24"/>
    <mergeCell ref="BC23:BH24"/>
    <mergeCell ref="BI23:BN24"/>
    <mergeCell ref="BU21:BZ22"/>
    <mergeCell ref="CA21:CF22"/>
    <mergeCell ref="CG21:CL22"/>
    <mergeCell ref="CM21:CR22"/>
    <mergeCell ref="CS21:CX22"/>
    <mergeCell ref="CY21:DD22"/>
    <mergeCell ref="BI21:BN22"/>
    <mergeCell ref="CY16:DD19"/>
    <mergeCell ref="AD13:AF14"/>
    <mergeCell ref="AI13:AJ14"/>
    <mergeCell ref="AG13:AH14"/>
    <mergeCell ref="AQ21:AV22"/>
    <mergeCell ref="AW21:BB22"/>
    <mergeCell ref="BO21:BT22"/>
    <mergeCell ref="DK12:DV12"/>
    <mergeCell ref="DK13:DP14"/>
    <mergeCell ref="DQ13:DV14"/>
    <mergeCell ref="DE13:DJ14"/>
    <mergeCell ref="AE21:AG22"/>
    <mergeCell ref="AH21:AJ22"/>
    <mergeCell ref="AQ13:AV14"/>
    <mergeCell ref="AW13:BB14"/>
    <mergeCell ref="BC13:BH14"/>
    <mergeCell ref="CA13:CF14"/>
    <mergeCell ref="CG13:CL14"/>
    <mergeCell ref="CM13:CR14"/>
    <mergeCell ref="CS13:CX14"/>
    <mergeCell ref="CY13:DD14"/>
    <mergeCell ref="BI13:BN14"/>
    <mergeCell ref="AK13:AP14"/>
    <mergeCell ref="BO13:BT14"/>
    <mergeCell ref="BU13:BZ14"/>
    <mergeCell ref="CA12:CX12"/>
    <mergeCell ref="CY12:DJ12"/>
    <mergeCell ref="AK21:AP22"/>
    <mergeCell ref="AR16:AU19"/>
    <mergeCell ref="AX16:BA19"/>
    <mergeCell ref="BD16:BG19"/>
    <mergeCell ref="BC21:BH22"/>
    <mergeCell ref="DN60:DU60"/>
    <mergeCell ref="AB63:AR65"/>
    <mergeCell ref="AS63:BI65"/>
    <mergeCell ref="AE82:CK83"/>
    <mergeCell ref="BR60:BY60"/>
    <mergeCell ref="BZ60:CG60"/>
    <mergeCell ref="CH60:CO60"/>
    <mergeCell ref="CP60:CW60"/>
    <mergeCell ref="CX60:DE60"/>
    <mergeCell ref="DF60:DM60"/>
    <mergeCell ref="CH59:CO59"/>
    <mergeCell ref="CP59:CW59"/>
    <mergeCell ref="CX59:DE59"/>
    <mergeCell ref="DF59:DM59"/>
    <mergeCell ref="DN59:DU59"/>
    <mergeCell ref="AF60:AH60"/>
    <mergeCell ref="AI60:AS60"/>
    <mergeCell ref="AT60:BA60"/>
    <mergeCell ref="BB60:BI60"/>
    <mergeCell ref="BJ60:BQ60"/>
    <mergeCell ref="AF59:AS59"/>
    <mergeCell ref="AT59:BA59"/>
    <mergeCell ref="BB59:BI59"/>
    <mergeCell ref="BJ59:BQ59"/>
    <mergeCell ref="BR59:BY59"/>
    <mergeCell ref="BZ59:CG59"/>
    <mergeCell ref="CM55:CR56"/>
    <mergeCell ref="CS55:CX56"/>
    <mergeCell ref="CY55:DD56"/>
    <mergeCell ref="DE55:DJ56"/>
    <mergeCell ref="DK55:DP56"/>
    <mergeCell ref="BC55:BH56"/>
    <mergeCell ref="BI55:BN56"/>
    <mergeCell ref="BO55:BT56"/>
    <mergeCell ref="BU55:BZ56"/>
    <mergeCell ref="CA55:CF56"/>
    <mergeCell ref="CG55:CL56"/>
    <mergeCell ref="CS53:CX54"/>
    <mergeCell ref="CY53:DD54"/>
    <mergeCell ref="DE53:DJ54"/>
    <mergeCell ref="DK53:DP54"/>
    <mergeCell ref="AK55:AP56"/>
    <mergeCell ref="AQ55:AV56"/>
    <mergeCell ref="AW55:BB56"/>
    <mergeCell ref="BI53:BN54"/>
    <mergeCell ref="BO53:BT54"/>
    <mergeCell ref="BU53:BZ54"/>
    <mergeCell ref="CA53:CF54"/>
    <mergeCell ref="CG53:CL54"/>
    <mergeCell ref="CM53:CR54"/>
    <mergeCell ref="AK53:AP54"/>
    <mergeCell ref="AQ53:AV54"/>
    <mergeCell ref="AW53:BB54"/>
    <mergeCell ref="BC53:BH54"/>
    <mergeCell ref="CM51:CR52"/>
    <mergeCell ref="CS51:CX52"/>
    <mergeCell ref="CY51:DD52"/>
    <mergeCell ref="DE51:DJ52"/>
    <mergeCell ref="DK51:DP52"/>
    <mergeCell ref="DQ51:DQ52"/>
    <mergeCell ref="DR51:DV52"/>
    <mergeCell ref="BC51:BH52"/>
    <mergeCell ref="BI51:BN52"/>
    <mergeCell ref="BO51:BT52"/>
    <mergeCell ref="BU51:BZ52"/>
    <mergeCell ref="CA51:CF52"/>
    <mergeCell ref="CG51:CL52"/>
    <mergeCell ref="CS49:CX50"/>
    <mergeCell ref="CY49:DD50"/>
    <mergeCell ref="DE49:DJ50"/>
    <mergeCell ref="DK49:DP50"/>
    <mergeCell ref="AK51:AP52"/>
    <mergeCell ref="AQ51:AV52"/>
    <mergeCell ref="AW51:BB52"/>
    <mergeCell ref="BI49:BN50"/>
    <mergeCell ref="BO49:BT50"/>
    <mergeCell ref="BU49:BZ50"/>
    <mergeCell ref="CA49:CF50"/>
    <mergeCell ref="CG49:CL50"/>
    <mergeCell ref="CM49:CR50"/>
    <mergeCell ref="AK49:AP50"/>
    <mergeCell ref="AQ49:AV50"/>
    <mergeCell ref="AW49:BB50"/>
    <mergeCell ref="BC49:BH50"/>
    <mergeCell ref="AE49:AG50"/>
    <mergeCell ref="CM47:CR48"/>
    <mergeCell ref="CS47:CX48"/>
    <mergeCell ref="CY47:DD48"/>
    <mergeCell ref="DE47:DJ48"/>
    <mergeCell ref="DK47:DP48"/>
    <mergeCell ref="BC47:BH48"/>
    <mergeCell ref="BI47:BN48"/>
    <mergeCell ref="BO47:BT48"/>
    <mergeCell ref="BU47:BZ48"/>
    <mergeCell ref="CA47:CF48"/>
    <mergeCell ref="CG47:CL48"/>
    <mergeCell ref="CS45:CX46"/>
    <mergeCell ref="CY45:DD46"/>
    <mergeCell ref="DE45:DJ46"/>
    <mergeCell ref="DK45:DP46"/>
    <mergeCell ref="AK47:AP48"/>
    <mergeCell ref="AQ47:AV48"/>
    <mergeCell ref="AW47:BB48"/>
    <mergeCell ref="BI45:BN46"/>
    <mergeCell ref="BO45:BT46"/>
    <mergeCell ref="BU45:BZ46"/>
    <mergeCell ref="CA45:CF46"/>
    <mergeCell ref="CG45:CL46"/>
    <mergeCell ref="CM45:CR46"/>
    <mergeCell ref="AK45:AP46"/>
    <mergeCell ref="AQ45:AV46"/>
    <mergeCell ref="AW45:BB46"/>
    <mergeCell ref="BC45:BH46"/>
    <mergeCell ref="AH45:AJ46"/>
    <mergeCell ref="CM43:CR44"/>
    <mergeCell ref="CS43:CX44"/>
    <mergeCell ref="CY43:DD44"/>
    <mergeCell ref="DE43:DJ44"/>
    <mergeCell ref="DK43:DP44"/>
    <mergeCell ref="DQ43:DQ44"/>
    <mergeCell ref="DR43:DV44"/>
    <mergeCell ref="BC43:BH44"/>
    <mergeCell ref="BI43:BN44"/>
    <mergeCell ref="BO43:BT44"/>
    <mergeCell ref="BU43:BZ44"/>
    <mergeCell ref="CA43:CF44"/>
    <mergeCell ref="CG43:CL44"/>
    <mergeCell ref="CS41:CX42"/>
    <mergeCell ref="CY41:DD42"/>
    <mergeCell ref="DE41:DJ42"/>
    <mergeCell ref="DK41:DP42"/>
    <mergeCell ref="AK43:AP44"/>
    <mergeCell ref="AQ43:AV44"/>
    <mergeCell ref="AW43:BB44"/>
    <mergeCell ref="BI41:BN42"/>
    <mergeCell ref="BO41:BT42"/>
    <mergeCell ref="BU41:BZ42"/>
    <mergeCell ref="CA41:CF42"/>
    <mergeCell ref="CG41:CL42"/>
    <mergeCell ref="CM41:CR42"/>
    <mergeCell ref="CY39:DD40"/>
    <mergeCell ref="DE39:DJ40"/>
    <mergeCell ref="DK39:DP40"/>
    <mergeCell ref="AK41:AP42"/>
    <mergeCell ref="AQ41:AV42"/>
    <mergeCell ref="AW41:BB42"/>
    <mergeCell ref="BC41:BH42"/>
    <mergeCell ref="BO39:BT40"/>
    <mergeCell ref="BU39:BZ40"/>
    <mergeCell ref="CA39:CF40"/>
    <mergeCell ref="CG39:CL40"/>
    <mergeCell ref="CM39:CR40"/>
    <mergeCell ref="CS39:CX40"/>
    <mergeCell ref="B39:F41"/>
    <mergeCell ref="G39:AA41"/>
    <mergeCell ref="AK39:AP40"/>
    <mergeCell ref="AQ39:AV40"/>
    <mergeCell ref="AW39:BB40"/>
    <mergeCell ref="BC39:BH40"/>
    <mergeCell ref="BI39:BN40"/>
    <mergeCell ref="CG37:CL38"/>
    <mergeCell ref="CM37:CR38"/>
    <mergeCell ref="CS37:CX38"/>
    <mergeCell ref="CY37:DD38"/>
    <mergeCell ref="DE37:DJ38"/>
    <mergeCell ref="DK37:DP38"/>
    <mergeCell ref="AW37:BB38"/>
    <mergeCell ref="BC37:BH38"/>
    <mergeCell ref="BI37:BN38"/>
    <mergeCell ref="BO37:BT38"/>
    <mergeCell ref="BU37:BZ38"/>
    <mergeCell ref="CA37:CF38"/>
    <mergeCell ref="B36:F38"/>
    <mergeCell ref="G36:AA38"/>
    <mergeCell ref="CM35:CR36"/>
    <mergeCell ref="CS35:CX36"/>
    <mergeCell ref="CY35:DD36"/>
    <mergeCell ref="DE35:DJ36"/>
    <mergeCell ref="DK35:DP36"/>
    <mergeCell ref="DQ35:DQ36"/>
    <mergeCell ref="DR35:DV36"/>
    <mergeCell ref="BC35:BH36"/>
    <mergeCell ref="BI35:BN36"/>
    <mergeCell ref="BO35:BT36"/>
    <mergeCell ref="BU35:BZ36"/>
    <mergeCell ref="CA35:CF36"/>
    <mergeCell ref="CG35:CL36"/>
    <mergeCell ref="CS33:CX34"/>
    <mergeCell ref="CY33:DD34"/>
    <mergeCell ref="DE33:DJ34"/>
    <mergeCell ref="DK33:DP34"/>
    <mergeCell ref="AK35:AP36"/>
    <mergeCell ref="AQ35:AV36"/>
    <mergeCell ref="AW35:BB36"/>
    <mergeCell ref="BI33:BN34"/>
    <mergeCell ref="BO33:BT34"/>
    <mergeCell ref="BU33:BZ34"/>
    <mergeCell ref="CA33:CF34"/>
    <mergeCell ref="CG33:CL34"/>
    <mergeCell ref="CM33:CR34"/>
    <mergeCell ref="DK31:DP32"/>
    <mergeCell ref="B33:F35"/>
    <mergeCell ref="G33:AA35"/>
    <mergeCell ref="AK33:AP34"/>
    <mergeCell ref="AQ33:AV34"/>
    <mergeCell ref="AW33:BB34"/>
    <mergeCell ref="BC33:BH34"/>
    <mergeCell ref="CA31:CF32"/>
    <mergeCell ref="CG31:CL32"/>
    <mergeCell ref="CM31:CR32"/>
    <mergeCell ref="CS31:CX32"/>
    <mergeCell ref="CY31:DD32"/>
    <mergeCell ref="DE31:DJ32"/>
    <mergeCell ref="AQ31:AV32"/>
    <mergeCell ref="AW31:BB32"/>
    <mergeCell ref="BC31:BH32"/>
    <mergeCell ref="BI31:BN32"/>
    <mergeCell ref="BO31:BT32"/>
    <mergeCell ref="BU31:BZ32"/>
    <mergeCell ref="CS29:CX30"/>
    <mergeCell ref="CY29:DD30"/>
    <mergeCell ref="DE29:DJ30"/>
    <mergeCell ref="DK29:DP30"/>
    <mergeCell ref="B30:F32"/>
    <mergeCell ref="G30:AA32"/>
    <mergeCell ref="AK31:AP32"/>
    <mergeCell ref="BI29:BN30"/>
    <mergeCell ref="BO29:BT30"/>
    <mergeCell ref="BU29:BZ30"/>
    <mergeCell ref="CA29:CF30"/>
    <mergeCell ref="CG29:CL30"/>
    <mergeCell ref="CM29:CR30"/>
    <mergeCell ref="CY27:DD28"/>
    <mergeCell ref="DE27:DJ28"/>
    <mergeCell ref="DK27:DP28"/>
    <mergeCell ref="AK29:AP30"/>
    <mergeCell ref="AQ29:AV30"/>
    <mergeCell ref="AW29:BB30"/>
    <mergeCell ref="BC29:BH30"/>
    <mergeCell ref="BO27:BT28"/>
    <mergeCell ref="BU27:BZ28"/>
    <mergeCell ref="CA27:CF28"/>
    <mergeCell ref="CG27:CL28"/>
    <mergeCell ref="CM27:CR28"/>
    <mergeCell ref="CS27:CX28"/>
    <mergeCell ref="B27:F29"/>
    <mergeCell ref="G27:AA29"/>
    <mergeCell ref="AK27:AP28"/>
    <mergeCell ref="AQ27:AV28"/>
    <mergeCell ref="AW27:BB28"/>
    <mergeCell ref="BC27:BH28"/>
    <mergeCell ref="BI27:BN28"/>
    <mergeCell ref="CG25:CL26"/>
    <mergeCell ref="CM25:CR26"/>
    <mergeCell ref="CS25:CX26"/>
    <mergeCell ref="CY25:DD26"/>
    <mergeCell ref="DE25:DJ26"/>
    <mergeCell ref="DK25:DP26"/>
    <mergeCell ref="AW25:BB26"/>
    <mergeCell ref="BC25:BH26"/>
    <mergeCell ref="BI25:BN26"/>
    <mergeCell ref="BO25:BT26"/>
    <mergeCell ref="BU25:BZ26"/>
    <mergeCell ref="CA25:CF26"/>
    <mergeCell ref="CY23:DD24"/>
    <mergeCell ref="DE23:DJ24"/>
    <mergeCell ref="DK23:DP24"/>
    <mergeCell ref="B24:F26"/>
    <mergeCell ref="G24:AA26"/>
    <mergeCell ref="AK25:AP26"/>
    <mergeCell ref="AQ25:AV26"/>
    <mergeCell ref="BO23:BT24"/>
    <mergeCell ref="BU23:BZ24"/>
    <mergeCell ref="CA23:CF24"/>
    <mergeCell ref="CG23:CL24"/>
    <mergeCell ref="CM23:CR24"/>
    <mergeCell ref="CS23:CX24"/>
    <mergeCell ref="B21:F23"/>
    <mergeCell ref="G21:AA23"/>
    <mergeCell ref="B18:F20"/>
    <mergeCell ref="G18:AA20"/>
    <mergeCell ref="B15:F17"/>
    <mergeCell ref="G15:AA17"/>
    <mergeCell ref="DQ5:EG7"/>
    <mergeCell ref="EH5:EX7"/>
    <mergeCell ref="B10:G14"/>
    <mergeCell ref="H10:AA14"/>
    <mergeCell ref="DZ10:FJ14"/>
    <mergeCell ref="B1:AZ4"/>
    <mergeCell ref="DK2:DM3"/>
    <mergeCell ref="DN2:DV3"/>
    <mergeCell ref="B5:R7"/>
    <mergeCell ref="S5:AI7"/>
    <mergeCell ref="AJ5:AZ7"/>
    <mergeCell ref="BA5:BQ7"/>
    <mergeCell ref="BR5:CH7"/>
    <mergeCell ref="CI5:CY7"/>
    <mergeCell ref="CZ5:DP7"/>
  </mergeCells>
  <phoneticPr fontId="43" type="noConversion"/>
  <dataValidations count="7">
    <dataValidation type="list" allowBlank="1" showInputMessage="1" showErrorMessage="1" sqref="AI13:AJ14" xr:uid="{70580AD7-CBB3-4E77-AF89-95BA215E984D}">
      <formula1>"E,I,E*"</formula1>
    </dataValidation>
    <dataValidation type="list" allowBlank="1" showInputMessage="1" showErrorMessage="1" sqref="AQ21:AV56" xr:uid="{67102FFA-8214-48F7-BDEC-D8C742AC330F}">
      <formula1>$FO$49:$FO$59</formula1>
    </dataValidation>
    <dataValidation type="list" allowBlank="1" showInputMessage="1" showErrorMessage="1" sqref="AW21:BB56" xr:uid="{2867975D-EC1B-4F3D-9175-2E5E5630EF79}">
      <formula1>$FY$49:$FY$53</formula1>
    </dataValidation>
    <dataValidation type="list" allowBlank="1" showInputMessage="1" showErrorMessage="1" sqref="BC21:BH56" xr:uid="{5BE71F5A-3902-4C89-86FE-242D2BB1D446}">
      <formula1>"Fijo,Extraible"</formula1>
    </dataValidation>
    <dataValidation type="list" allowBlank="1" showInputMessage="1" showErrorMessage="1" sqref="AK21:AP56" xr:uid="{8F5F341F-65E9-48BF-B1D3-CD7A71B72D73}">
      <formula1>"Liso,Integrada,Abatible"</formula1>
    </dataValidation>
    <dataValidation type="list" allowBlank="1" showInputMessage="1" showErrorMessage="1" sqref="BI21:BN56" xr:uid="{F758EE80-E147-471F-A086-BA55122D7B8B}">
      <formula1>"Palanca,Motorizado,Rotativo"</formula1>
    </dataValidation>
    <dataValidation type="list" allowBlank="1" showInputMessage="1" showErrorMessage="1" sqref="BU21:BZ56" xr:uid="{87B5C067-75A9-47B8-BF7A-AC2A88B5E1D8}">
      <formula1>"-,Señalización,DPS,HWA,PM"</formula1>
    </dataValidation>
  </dataValidations>
  <printOptions horizontalCentered="1" verticalCentered="1"/>
  <pageMargins left="0" right="0" top="0" bottom="0" header="0" footer="0"/>
  <pageSetup scale="75" orientation="landscape" r:id="rId1"/>
  <ignoredErrors>
    <ignoredError sqref="AH21" numberStoredAsText="1"/>
    <ignoredError sqref="AB22:AC22 AB58:AD58 AB57:AD57 AE23:AG56 AE57:AG57" formula="1"/>
  </ignoredErrors>
  <drawing r:id="rId2"/>
  <legacyDrawing r:id="rId3"/>
  <controls>
    <mc:AlternateContent xmlns:mc="http://schemas.openxmlformats.org/markup-compatibility/2006">
      <mc:Choice Requires="x14">
        <control shapeId="32776" r:id="rId4" name="CheckBox12">
          <controlPr defaultSize="0" autoLine="0" r:id="rId5">
            <anchor moveWithCells="1">
              <from>
                <xdr:col>159</xdr:col>
                <xdr:colOff>31750</xdr:colOff>
                <xdr:row>44</xdr:row>
                <xdr:rowOff>6350</xdr:rowOff>
              </from>
              <to>
                <xdr:col>160</xdr:col>
                <xdr:colOff>101600</xdr:colOff>
                <xdr:row>44</xdr:row>
                <xdr:rowOff>152400</xdr:rowOff>
              </to>
            </anchor>
          </controlPr>
        </control>
      </mc:Choice>
      <mc:Fallback>
        <control shapeId="32776" r:id="rId4" name="CheckBox12"/>
      </mc:Fallback>
    </mc:AlternateContent>
    <mc:AlternateContent xmlns:mc="http://schemas.openxmlformats.org/markup-compatibility/2006">
      <mc:Choice Requires="x14">
        <control shapeId="32775" r:id="rId6" name="CheckBox11">
          <controlPr defaultSize="0" autoLine="0" r:id="rId7">
            <anchor moveWithCells="1">
              <from>
                <xdr:col>159</xdr:col>
                <xdr:colOff>31750</xdr:colOff>
                <xdr:row>35</xdr:row>
                <xdr:rowOff>82550</xdr:rowOff>
              </from>
              <to>
                <xdr:col>160</xdr:col>
                <xdr:colOff>101600</xdr:colOff>
                <xdr:row>36</xdr:row>
                <xdr:rowOff>44450</xdr:rowOff>
              </to>
            </anchor>
          </controlPr>
        </control>
      </mc:Choice>
      <mc:Fallback>
        <control shapeId="32775" r:id="rId6" name="CheckBox11"/>
      </mc:Fallback>
    </mc:AlternateContent>
    <mc:AlternateContent xmlns:mc="http://schemas.openxmlformats.org/markup-compatibility/2006">
      <mc:Choice Requires="x14">
        <control shapeId="32774" r:id="rId8" name="CheckBox10">
          <controlPr defaultSize="0" autoLine="0" r:id="rId5">
            <anchor moveWithCells="1">
              <from>
                <xdr:col>148</xdr:col>
                <xdr:colOff>57150</xdr:colOff>
                <xdr:row>44</xdr:row>
                <xdr:rowOff>25400</xdr:rowOff>
              </from>
              <to>
                <xdr:col>150</xdr:col>
                <xdr:colOff>0</xdr:colOff>
                <xdr:row>44</xdr:row>
                <xdr:rowOff>171450</xdr:rowOff>
              </to>
            </anchor>
          </controlPr>
        </control>
      </mc:Choice>
      <mc:Fallback>
        <control shapeId="32774" r:id="rId8" name="CheckBox10"/>
      </mc:Fallback>
    </mc:AlternateContent>
    <mc:AlternateContent xmlns:mc="http://schemas.openxmlformats.org/markup-compatibility/2006">
      <mc:Choice Requires="x14">
        <control shapeId="32773" r:id="rId9" name="CheckBox9">
          <controlPr defaultSize="0" autoLine="0" r:id="rId10">
            <anchor moveWithCells="1">
              <from>
                <xdr:col>148</xdr:col>
                <xdr:colOff>63500</xdr:colOff>
                <xdr:row>35</xdr:row>
                <xdr:rowOff>114300</xdr:rowOff>
              </from>
              <to>
                <xdr:col>150</xdr:col>
                <xdr:colOff>12700</xdr:colOff>
                <xdr:row>36</xdr:row>
                <xdr:rowOff>82550</xdr:rowOff>
              </to>
            </anchor>
          </controlPr>
        </control>
      </mc:Choice>
      <mc:Fallback>
        <control shapeId="32773" r:id="rId9" name="CheckBox9"/>
      </mc:Fallback>
    </mc:AlternateContent>
    <mc:AlternateContent xmlns:mc="http://schemas.openxmlformats.org/markup-compatibility/2006">
      <mc:Choice Requires="x14">
        <control shapeId="32772" r:id="rId11" name="CheckBox4">
          <controlPr defaultSize="0" autoLine="0" r:id="rId12">
            <anchor moveWithCells="1">
              <from>
                <xdr:col>148</xdr:col>
                <xdr:colOff>57150</xdr:colOff>
                <xdr:row>54</xdr:row>
                <xdr:rowOff>6350</xdr:rowOff>
              </from>
              <to>
                <xdr:col>150</xdr:col>
                <xdr:colOff>6350</xdr:colOff>
                <xdr:row>54</xdr:row>
                <xdr:rowOff>139700</xdr:rowOff>
              </to>
            </anchor>
          </controlPr>
        </control>
      </mc:Choice>
      <mc:Fallback>
        <control shapeId="32772" r:id="rId11" name="CheckBox4"/>
      </mc:Fallback>
    </mc:AlternateContent>
    <mc:AlternateContent xmlns:mc="http://schemas.openxmlformats.org/markup-compatibility/2006">
      <mc:Choice Requires="x14">
        <control shapeId="32771" r:id="rId13" name="CheckBox3">
          <controlPr defaultSize="0" autoLine="0" r:id="rId12">
            <anchor moveWithCells="1">
              <from>
                <xdr:col>147</xdr:col>
                <xdr:colOff>12700</xdr:colOff>
                <xdr:row>47</xdr:row>
                <xdr:rowOff>57150</xdr:rowOff>
              </from>
              <to>
                <xdr:col>148</xdr:col>
                <xdr:colOff>88900</xdr:colOff>
                <xdr:row>48</xdr:row>
                <xdr:rowOff>25400</xdr:rowOff>
              </to>
            </anchor>
          </controlPr>
        </control>
      </mc:Choice>
      <mc:Fallback>
        <control shapeId="32771" r:id="rId13" name="CheckBox3"/>
      </mc:Fallback>
    </mc:AlternateContent>
    <mc:AlternateContent xmlns:mc="http://schemas.openxmlformats.org/markup-compatibility/2006">
      <mc:Choice Requires="x14">
        <control shapeId="32770" r:id="rId14" name="CheckBox2">
          <controlPr defaultSize="0" autoLine="0" r:id="rId15">
            <anchor moveWithCells="1">
              <from>
                <xdr:col>147</xdr:col>
                <xdr:colOff>6350</xdr:colOff>
                <xdr:row>40</xdr:row>
                <xdr:rowOff>107950</xdr:rowOff>
              </from>
              <to>
                <xdr:col>148</xdr:col>
                <xdr:colOff>76200</xdr:colOff>
                <xdr:row>41</xdr:row>
                <xdr:rowOff>76200</xdr:rowOff>
              </to>
            </anchor>
          </controlPr>
        </control>
      </mc:Choice>
      <mc:Fallback>
        <control shapeId="32770" r:id="rId14" name="CheckBox2"/>
      </mc:Fallback>
    </mc:AlternateContent>
    <mc:AlternateContent xmlns:mc="http://schemas.openxmlformats.org/markup-compatibility/2006">
      <mc:Choice Requires="x14">
        <control shapeId="32769" r:id="rId16" name="CheckBox1">
          <controlPr defaultSize="0" autoLine="0" r:id="rId12">
            <anchor moveWithCells="1">
              <from>
                <xdr:col>147</xdr:col>
                <xdr:colOff>76200</xdr:colOff>
                <xdr:row>34</xdr:row>
                <xdr:rowOff>133350</xdr:rowOff>
              </from>
              <to>
                <xdr:col>149</xdr:col>
                <xdr:colOff>25400</xdr:colOff>
                <xdr:row>35</xdr:row>
                <xdr:rowOff>95250</xdr:rowOff>
              </to>
            </anchor>
          </controlPr>
        </control>
      </mc:Choice>
      <mc:Fallback>
        <control shapeId="32769" r:id="rId16" name="CheckBox1"/>
      </mc:Fallback>
    </mc:AlternateContent>
  </controls>
  <tableParts count="2"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BD</vt:lpstr>
      <vt:lpstr>UF</vt:lpstr>
      <vt:lpstr>UF!Área_de_impresión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RODRIGUEZ</dc:creator>
  <cp:lastModifiedBy>CRISTIAN RODRIGUEZ</cp:lastModifiedBy>
  <cp:lastPrinted>2025-10-23T19:04:43Z</cp:lastPrinted>
  <dcterms:created xsi:type="dcterms:W3CDTF">2025-10-09T18:29:56Z</dcterms:created>
  <dcterms:modified xsi:type="dcterms:W3CDTF">2025-10-27T18:57:03Z</dcterms:modified>
</cp:coreProperties>
</file>